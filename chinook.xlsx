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Science\DATA\"/>
    </mc:Choice>
  </mc:AlternateContent>
  <xr:revisionPtr revIDLastSave="0" documentId="13_ncr:1_{89A8E947-7530-4FDB-8A0C-592DDA6D102D}" xr6:coauthVersionLast="47" xr6:coauthVersionMax="47" xr10:uidLastSave="{00000000-0000-0000-0000-000000000000}"/>
  <bookViews>
    <workbookView xWindow="-108" yWindow="-108" windowWidth="23256" windowHeight="12456" firstSheet="3" activeTab="6" xr2:uid="{B2E01690-A61C-48EA-B678-54F796C742C6}"/>
  </bookViews>
  <sheets>
    <sheet name="Feuil2" sheetId="3" r:id="rId1"/>
    <sheet name="Feuil3" sheetId="5" r:id="rId2"/>
    <sheet name="TCD_Ventes_Pays" sheetId="6" r:id="rId3"/>
    <sheet name="Feuil4" sheetId="8" r:id="rId4"/>
    <sheet name="ventes_detaillees_chinook" sheetId="4" r:id="rId5"/>
    <sheet name="ventes_par_pays" sheetId="2" r:id="rId6"/>
    <sheet name="Dashboard_Chinook" sheetId="1" r:id="rId7"/>
  </sheets>
  <definedNames>
    <definedName name="DonnéesExternes_1" localSheetId="5" hidden="1">ventes_par_pays!$A$1:$B$11</definedName>
    <definedName name="DonnéesExternes_2" localSheetId="4" hidden="1">ventes_detaillees_chinook!$A$1:$D$413</definedName>
    <definedName name="Segment_BillingCountry">#N/A</definedName>
  </definedNames>
  <calcPr calcId="191029"/>
  <pivotCaches>
    <pivotCache cacheId="0" r:id="rId8"/>
    <pivotCache cacheId="9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1" l="1"/>
  <c r="J6" i="1" a="1"/>
  <c r="B6" i="1"/>
  <c r="F6" i="1"/>
  <c r="F6" i="5"/>
  <c r="F7" i="5"/>
  <c r="F8" i="5"/>
  <c r="F5" i="5"/>
  <c r="D20" i="2"/>
  <c r="D17" i="2"/>
  <c r="D14" i="2"/>
  <c r="D11" i="2"/>
  <c r="D8" i="2"/>
  <c r="C2" i="2"/>
  <c r="C3" i="2"/>
  <c r="C4" i="2"/>
  <c r="C5" i="2"/>
  <c r="C6" i="2"/>
  <c r="C7" i="2"/>
  <c r="C8" i="2"/>
  <c r="C9" i="2"/>
  <c r="C10" i="2"/>
  <c r="C11" i="2"/>
  <c r="D5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7A800-DCF0-43F8-A21D-89A8BCB528B6}" keepAlive="1" name="Requête - ventes_detaillees_chinook" description="Connexion à la requête « ventes_detaillees_chinook » dans le classeur." type="5" refreshedVersion="8" background="1" saveData="1">
    <dbPr connection="Provider=Microsoft.Mashup.OleDb.1;Data Source=$Workbook$;Location=ventes_detaillees_chinook;Extended Properties=&quot;&quot;" command="SELECT * FROM [ventes_detaillees_chinook]"/>
  </connection>
  <connection id="2" xr16:uid="{1194E2C5-32B0-414F-A768-DA2AB256DA42}" keepAlive="1" name="Requête - ventes_par_pays" description="Connexion à la requête « ventes_par_pays » dans le classeur." type="5" refreshedVersion="8" background="1" saveData="1">
    <dbPr connection="Provider=Microsoft.Mashup.OleDb.1;Data Source=$Workbook$;Location=ventes_par_pays;Extended Properties=&quot;&quot;" command="SELECT * FROM [ventes_par_pay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<sst xmlns="http://schemas.openxmlformats.org/spreadsheetml/2006/main" count="518" uniqueCount="53">
  <si>
    <t>BillingCountry</t>
  </si>
  <si>
    <t>chiffre_affaires</t>
  </si>
  <si>
    <t>USA</t>
  </si>
  <si>
    <t>Canada</t>
  </si>
  <si>
    <t>France</t>
  </si>
  <si>
    <t>Brazil</t>
  </si>
  <si>
    <t>Germany</t>
  </si>
  <si>
    <t>United Kingdom</t>
  </si>
  <si>
    <t>Czech Republic</t>
  </si>
  <si>
    <t>Portugal</t>
  </si>
  <si>
    <t>India</t>
  </si>
  <si>
    <t>Chile</t>
  </si>
  <si>
    <t>Chiffre d'affaires total (Top 10)</t>
  </si>
  <si>
    <t>Chiffre d'affaires moyen par pays</t>
  </si>
  <si>
    <t>Part du chiffre d'affaires (%)</t>
  </si>
  <si>
    <t>Total pourcentage</t>
  </si>
  <si>
    <t>Chiffre d'affaires maximum</t>
  </si>
  <si>
    <t>Chiffre d'affaires minimum</t>
  </si>
  <si>
    <t>L'ecartype</t>
  </si>
  <si>
    <t>Le coefficient de variation</t>
  </si>
  <si>
    <t>Étiquettes de lignes</t>
  </si>
  <si>
    <t>Total général</t>
  </si>
  <si>
    <t>Somme de chiffre_affaires</t>
  </si>
  <si>
    <t>InvoiceId</t>
  </si>
  <si>
    <t>InvoiceDate</t>
  </si>
  <si>
    <t>Total</t>
  </si>
  <si>
    <t>Norway</t>
  </si>
  <si>
    <t>Belgium</t>
  </si>
  <si>
    <t>Ireland</t>
  </si>
  <si>
    <t>Australia</t>
  </si>
  <si>
    <t>Netherlands</t>
  </si>
  <si>
    <t>Spain</t>
  </si>
  <si>
    <t>Sweden</t>
  </si>
  <si>
    <t>Finland</t>
  </si>
  <si>
    <t>Denmark</t>
  </si>
  <si>
    <t>Italy</t>
  </si>
  <si>
    <t>Poland</t>
  </si>
  <si>
    <t>Austria</t>
  </si>
  <si>
    <t>Hungary</t>
  </si>
  <si>
    <t>Argentina</t>
  </si>
  <si>
    <t>Somme de Total</t>
  </si>
  <si>
    <t>2022</t>
  </si>
  <si>
    <t>2023</t>
  </si>
  <si>
    <t>2025</t>
  </si>
  <si>
    <t>2021</t>
  </si>
  <si>
    <t>2024</t>
  </si>
  <si>
    <t>Chiffre d'affaires total</t>
  </si>
  <si>
    <t>Nombre de factures</t>
  </si>
  <si>
    <t>Meilleure année</t>
  </si>
  <si>
    <t>Évolution 2025</t>
  </si>
  <si>
    <t>Nombre de InvoiceDate</t>
  </si>
  <si>
    <t>Analyse interactive des ventes • 2021–2025</t>
  </si>
  <si>
    <t>CHINOOK — TABLEAU DE BORD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</si>
</sst>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sz val="18"/>
      <color theme="3" tint="9.9978637043366805E-2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NumberFormat="1"/>
    <xf numFmtId="0" fontId="0" fillId="2" borderId="0" xfId="0" applyFill="1"/>
    <xf numFmtId="0" fontId="3" fillId="3" borderId="0" xfId="0" applyFont="1" applyFill="1" applyAlignment="1">
      <alignment horizontal="left"/>
    </xf>
    <xf numFmtId="0" fontId="0" fillId="4" borderId="0" xfId="0" applyFill="1"/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10" fontId="4" fillId="4" borderId="0" xfId="1" applyNumberFormat="1" applyFont="1" applyFill="1"/>
    <xf numFmtId="0" fontId="8" fillId="4" borderId="0" xfId="0" applyFont="1" applyFill="1"/>
    <xf numFmtId="2" fontId="8" fillId="4" borderId="0" xfId="0" applyNumberFormat="1" applyFont="1" applyFill="1"/>
    <xf numFmtId="0" fontId="9" fillId="4" borderId="0" xfId="0" applyFont="1" applyFill="1"/>
    <xf numFmtId="0" fontId="10" fillId="0" borderId="0" xfId="0" applyFont="1"/>
    <xf numFmtId="0" fontId="10" fillId="4" borderId="0" xfId="0" applyFont="1" applyFill="1"/>
    <xf numFmtId="0" fontId="10" fillId="2" borderId="0" xfId="0" applyFont="1" applyFill="1"/>
    <xf numFmtId="0" fontId="8" fillId="4" borderId="0" xfId="0" applyFont="1" applyFill="1" applyAlignment="1">
      <alignment horizontal="left" vertical="top"/>
    </xf>
  </cellXfs>
  <cellStyles count="2">
    <cellStyle name="Normal" xfId="0" builtinId="0"/>
    <cellStyle name="Pourcentage" xfId="1" builtinId="5"/>
  </cellStyles>
  <dxfs count="28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d/mm/yyyy\ hh:mm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[Classeur2.xlsx]Feuil3!Tableau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Évolution annuelle du chiffre d'affaires — Chinook</a:t>
            </a:r>
            <a:endParaRPr lang="fr-FR"/>
          </a:p>
        </c:rich>
      </c:tx>
      <c:layout>
        <c:manualLayout>
          <c:xMode val="edge"/>
          <c:yMode val="edge"/>
          <c:x val="0.108548556430446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025371828521441E-2"/>
          <c:y val="0.15319444444444447"/>
          <c:w val="0.89030796150481195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Feuil3!$B$3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Feuil3!$A$4:$A$9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Feuil3!$B$4:$B$9</c:f>
              <c:numCache>
                <c:formatCode>General</c:formatCode>
                <c:ptCount val="5"/>
                <c:pt idx="0">
                  <c:v>449.46000000000032</c:v>
                </c:pt>
                <c:pt idx="1">
                  <c:v>481.45000000000033</c:v>
                </c:pt>
                <c:pt idx="2">
                  <c:v>469.58000000000033</c:v>
                </c:pt>
                <c:pt idx="3">
                  <c:v>477.53000000000026</c:v>
                </c:pt>
                <c:pt idx="4">
                  <c:v>450.58000000000027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4-4EAD-9E26-1A0065A67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492543"/>
        <c:axId val="1512752351"/>
      </c:lineChart>
      <c:catAx>
        <c:axId val="158249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2752351"/>
        <c:crosses val="autoZero"/>
        <c:auto val="1"/>
        <c:lblAlgn val="ctr"/>
        <c:lblOffset val="100"/>
        <c:noMultiLvlLbl val="0"/>
      </c:catAx>
      <c:valAx>
        <c:axId val="151275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4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[Classeur2.xlsx]Feuil4!Tableau croisé dynamique4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Chiffre d'affaires par pays — Chinook</a:t>
            </a:r>
            <a:endParaRPr lang="en-US"/>
          </a:p>
        </c:rich>
      </c:tx>
      <c:layout>
        <c:manualLayout>
          <c:xMode val="edge"/>
          <c:yMode val="edge"/>
          <c:x val="0.2782777777777777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84091117990186"/>
          <c:y val="0.15017519019694911"/>
          <c:w val="0.71183082525284613"/>
          <c:h val="0.751048596074060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Feuil4!$B$3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Feuil4!$A$4:$A$28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Chile</c:v>
                </c:pt>
                <c:pt idx="10">
                  <c:v>Hungary</c:v>
                </c:pt>
                <c:pt idx="11">
                  <c:v>Ireland</c:v>
                </c:pt>
                <c:pt idx="12">
                  <c:v>Austria</c:v>
                </c:pt>
                <c:pt idx="13">
                  <c:v>Finland</c:v>
                </c:pt>
                <c:pt idx="14">
                  <c:v>Netherlands</c:v>
                </c:pt>
                <c:pt idx="15">
                  <c:v>Norway</c:v>
                </c:pt>
                <c:pt idx="16">
                  <c:v>Sweden</c:v>
                </c:pt>
                <c:pt idx="17">
                  <c:v>Argentina</c:v>
                </c:pt>
                <c:pt idx="18">
                  <c:v>Australia</c:v>
                </c:pt>
                <c:pt idx="19">
                  <c:v>Denmark</c:v>
                </c:pt>
                <c:pt idx="20">
                  <c:v>Poland</c:v>
                </c:pt>
                <c:pt idx="21">
                  <c:v>Italy</c:v>
                </c:pt>
                <c:pt idx="22">
                  <c:v>Spain</c:v>
                </c:pt>
                <c:pt idx="23">
                  <c:v>Belgium</c:v>
                </c:pt>
              </c:strCache>
            </c:strRef>
          </c:cat>
          <c:val>
            <c:numRef>
              <c:f>Feuil4!$B$4:$B$28</c:f>
              <c:numCache>
                <c:formatCode>General</c:formatCode>
                <c:ptCount val="24"/>
                <c:pt idx="0">
                  <c:v>523.06000000000029</c:v>
                </c:pt>
                <c:pt idx="1">
                  <c:v>303.95999999999992</c:v>
                </c:pt>
                <c:pt idx="2">
                  <c:v>195.09999999999994</c:v>
                </c:pt>
                <c:pt idx="3">
                  <c:v>190.09999999999997</c:v>
                </c:pt>
                <c:pt idx="4">
                  <c:v>156.47999999999999</c:v>
                </c:pt>
                <c:pt idx="5">
                  <c:v>112.85999999999999</c:v>
                </c:pt>
                <c:pt idx="6">
                  <c:v>90.240000000000009</c:v>
                </c:pt>
                <c:pt idx="7">
                  <c:v>77.239999999999981</c:v>
                </c:pt>
                <c:pt idx="8">
                  <c:v>75.259999999999991</c:v>
                </c:pt>
                <c:pt idx="9">
                  <c:v>46.62</c:v>
                </c:pt>
                <c:pt idx="10">
                  <c:v>45.62</c:v>
                </c:pt>
                <c:pt idx="11">
                  <c:v>45.62</c:v>
                </c:pt>
                <c:pt idx="12">
                  <c:v>42.62</c:v>
                </c:pt>
                <c:pt idx="13">
                  <c:v>41.620000000000005</c:v>
                </c:pt>
                <c:pt idx="14">
                  <c:v>40.619999999999997</c:v>
                </c:pt>
                <c:pt idx="15">
                  <c:v>39.619999999999997</c:v>
                </c:pt>
                <c:pt idx="16">
                  <c:v>38.620000000000005</c:v>
                </c:pt>
                <c:pt idx="17">
                  <c:v>37.620000000000005</c:v>
                </c:pt>
                <c:pt idx="18">
                  <c:v>37.620000000000005</c:v>
                </c:pt>
                <c:pt idx="19">
                  <c:v>37.620000000000005</c:v>
                </c:pt>
                <c:pt idx="20">
                  <c:v>37.620000000000005</c:v>
                </c:pt>
                <c:pt idx="21">
                  <c:v>37.620000000000005</c:v>
                </c:pt>
                <c:pt idx="22">
                  <c:v>37.619999999999997</c:v>
                </c:pt>
                <c:pt idx="23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0-4E6B-83BF-33160DE91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225855"/>
        <c:axId val="913656927"/>
      </c:barChart>
      <c:catAx>
        <c:axId val="8522258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656927"/>
        <c:crosses val="autoZero"/>
        <c:auto val="1"/>
        <c:lblAlgn val="ctr"/>
        <c:lblOffset val="100"/>
        <c:noMultiLvlLbl val="0"/>
      </c:catAx>
      <c:valAx>
        <c:axId val="9136569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222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685939</xdr:colOff>
      <xdr:row>9</xdr:row>
      <xdr:rowOff>149678</xdr:rowOff>
    </xdr:from>
    <xdr:to>
      <xdr:col>7</xdr:col>
      <xdr:colOff>399505</xdr:colOff>
      <xdr:row>36</xdr:row>
      <xdr:rowOff>40820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2813BB6-D70F-FD8A-D228-FF8478782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32812</xdr:colOff>
      <xdr:row>9</xdr:row>
      <xdr:rowOff>163286</xdr:rowOff>
    </xdr:from>
    <xdr:to>
      <xdr:col>20</xdr:col>
      <xdr:colOff>299357</xdr:colOff>
      <xdr:row>30</xdr:row>
      <xdr:rowOff>136072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iltrer par pays">
              <a:extLst>
                <a:ext uri="{FF2B5EF4-FFF2-40B4-BE49-F238E27FC236}">
                  <a16:creationId xmlns:a16="http://schemas.microsoft.com/office/drawing/2014/main" id="{D0CF8E0B-EB84-47B1-9EB6-71F99E848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er par pay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89633" y="2476500"/>
              <a:ext cx="2634188" cy="3687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7</xdr:col>
      <xdr:colOff>517071</xdr:colOff>
      <xdr:row>9</xdr:row>
      <xdr:rowOff>149677</xdr:rowOff>
    </xdr:from>
    <xdr:to>
      <xdr:col>16</xdr:col>
      <xdr:colOff>707572</xdr:colOff>
      <xdr:row>36</xdr:row>
      <xdr:rowOff>54429</xdr:rowOff>
    </xdr:to>
    <xdr:graphicFrame macro="">
      <xdr:nvGraphicFramePr>
        <xdr:cNvPr id="6" name="Graphique 1">
          <a:extLst>
            <a:ext uri="{FF2B5EF4-FFF2-40B4-BE49-F238E27FC236}">
              <a16:creationId xmlns:a16="http://schemas.microsoft.com/office/drawing/2014/main" id="{7F119BF8-4D5B-DAFD-9EBE-B0D574E8C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TEC" refreshedDate="46323.372439467596" createdVersion="8" refreshedVersion="8" minRefreshableVersion="3" recordCount="10" xr:uid="{A3A46B06-3638-41B2-97B2-4E3410D9CEFC}">
  <cacheSource type="worksheet">
    <worksheetSource name="ventes_par_pays"/>
  </cacheSource>
  <cacheFields count="3">
    <cacheField name="BillingCountry" numFmtId="0">
      <sharedItems count="10">
        <s v="USA"/>
        <s v="Canada"/>
        <s v="France"/>
        <s v="Brazil"/>
        <s v="Germany"/>
        <s v="United Kingdom"/>
        <s v="Czech Republic"/>
        <s v="Portugal"/>
        <s v="India"/>
        <s v="Chile"/>
      </sharedItems>
    </cacheField>
    <cacheField name="chiffre_affaires" numFmtId="0">
      <sharedItems containsSemiMixedTypes="0" containsString="0" containsNumber="1" minValue="46.62" maxValue="523.05999999999995"/>
    </cacheField>
    <cacheField name="Part du chiffre d'affaires (%)" numFmtId="10">
      <sharedItems containsSemiMixedTypes="0" containsString="0" containsNumber="1" minValue="2.6325299844148806E-2" maxValue="0.2953606035281096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TEC" refreshedDate="46323.478049884259" createdVersion="8" refreshedVersion="8" minRefreshableVersion="3" recordCount="412" xr:uid="{03E660AC-D5A5-4794-97FE-919B38C3CC8C}">
  <cacheSource type="worksheet">
    <worksheetSource name="ventes_detaillees_chinook"/>
  </cacheSource>
  <cacheFields count="7">
    <cacheField name="InvoiceId" numFmtId="0">
      <sharedItems containsSemiMixedTypes="0" containsString="0" containsNumber="1" containsInteger="1" minValue="1" maxValue="412"/>
    </cacheField>
    <cacheField name="InvoiceDate" numFmtId="22">
      <sharedItems containsSemiMixedTypes="0" containsNonDate="0" containsDate="1" containsString="0" minDate="2021-01-01T00:00:00" maxDate="2025-12-23T00:00:00" count="354">
        <d v="2021-01-01T00:00:00"/>
        <d v="2021-01-02T00:00:00"/>
        <d v="2021-01-03T00:00:00"/>
        <d v="2021-01-06T00:00:00"/>
        <d v="2021-01-11T00:00:00"/>
        <d v="2021-01-19T00:00:00"/>
        <d v="2021-02-01T00:00:00"/>
        <d v="2021-02-02T00:00:00"/>
        <d v="2021-02-03T00:00:00"/>
        <d v="2021-02-06T00:00:00"/>
        <d v="2021-02-11T00:00:00"/>
        <d v="2021-02-19T00:00:00"/>
        <d v="2021-03-04T00:00:00"/>
        <d v="2021-03-05T00:00:00"/>
        <d v="2021-03-06T00:00:00"/>
        <d v="2021-03-09T00:00:00"/>
        <d v="2021-03-14T00:00:00"/>
        <d v="2021-03-22T00:00:00"/>
        <d v="2021-04-04T00:00:00"/>
        <d v="2021-04-05T00:00:00"/>
        <d v="2021-04-06T00:00:00"/>
        <d v="2021-04-09T00:00:00"/>
        <d v="2021-04-14T00:00:00"/>
        <d v="2021-04-22T00:00:00"/>
        <d v="2021-05-05T00:00:00"/>
        <d v="2021-05-06T00:00:00"/>
        <d v="2021-05-07T00:00:00"/>
        <d v="2021-05-10T00:00:00"/>
        <d v="2021-05-15T00:00:00"/>
        <d v="2021-05-23T00:00:00"/>
        <d v="2021-06-05T00:00:00"/>
        <d v="2021-06-06T00:00:00"/>
        <d v="2021-06-07T00:00:00"/>
        <d v="2021-06-10T00:00:00"/>
        <d v="2021-06-15T00:00:00"/>
        <d v="2021-06-23T00:00:00"/>
        <d v="2021-07-06T00:00:00"/>
        <d v="2021-07-07T00:00:00"/>
        <d v="2021-07-08T00:00:00"/>
        <d v="2021-07-11T00:00:00"/>
        <d v="2021-07-16T00:00:00"/>
        <d v="2021-07-24T00:00:00"/>
        <d v="2021-08-06T00:00:00"/>
        <d v="2021-08-07T00:00:00"/>
        <d v="2021-08-08T00:00:00"/>
        <d v="2021-08-11T00:00:00"/>
        <d v="2021-08-16T00:00:00"/>
        <d v="2021-08-24T00:00:00"/>
        <d v="2021-09-06T00:00:00"/>
        <d v="2021-09-07T00:00:00"/>
        <d v="2021-09-08T00:00:00"/>
        <d v="2021-09-11T00:00:00"/>
        <d v="2021-09-16T00:00:00"/>
        <d v="2021-09-24T00:00:00"/>
        <d v="2021-10-07T00:00:00"/>
        <d v="2021-10-08T00:00:00"/>
        <d v="2021-10-09T00:00:00"/>
        <d v="2021-10-12T00:00:00"/>
        <d v="2021-10-17T00:00:00"/>
        <d v="2021-10-25T00:00:00"/>
        <d v="2021-11-07T00:00:00"/>
        <d v="2021-11-08T00:00:00"/>
        <d v="2021-11-09T00:00:00"/>
        <d v="2021-11-12T00:00:00"/>
        <d v="2021-11-17T00:00:00"/>
        <d v="2021-11-25T00:00:00"/>
        <d v="2021-12-08T00:00:00"/>
        <d v="2021-12-09T00:00:00"/>
        <d v="2021-12-10T00:00:00"/>
        <d v="2021-12-13T00:00:00"/>
        <d v="2021-12-18T00:00:00"/>
        <d v="2021-12-26T00:00:00"/>
        <d v="2022-01-08T00:00:00"/>
        <d v="2022-01-09T00:00:00"/>
        <d v="2022-01-10T00:00:00"/>
        <d v="2022-01-13T00:00:00"/>
        <d v="2022-01-18T00:00:00"/>
        <d v="2022-01-26T00:00:00"/>
        <d v="2022-02-08T00:00:00"/>
        <d v="2022-02-09T00:00:00"/>
        <d v="2022-02-10T00:00:00"/>
        <d v="2022-02-13T00:00:00"/>
        <d v="2022-02-18T00:00:00"/>
        <d v="2022-02-26T00:00:00"/>
        <d v="2022-03-11T00:00:00"/>
        <d v="2022-03-12T00:00:00"/>
        <d v="2022-03-13T00:00:00"/>
        <d v="2022-03-16T00:00:00"/>
        <d v="2022-03-21T00:00:00"/>
        <d v="2022-03-29T00:00:00"/>
        <d v="2022-04-11T00:00:00"/>
        <d v="2022-04-12T00:00:00"/>
        <d v="2022-04-13T00:00:00"/>
        <d v="2022-04-16T00:00:00"/>
        <d v="2022-04-21T00:00:00"/>
        <d v="2022-04-29T00:00:00"/>
        <d v="2022-05-12T00:00:00"/>
        <d v="2022-05-13T00:00:00"/>
        <d v="2022-05-14T00:00:00"/>
        <d v="2022-05-17T00:00:00"/>
        <d v="2022-05-22T00:00:00"/>
        <d v="2022-05-30T00:00:00"/>
        <d v="2022-06-12T00:00:00"/>
        <d v="2022-06-13T00:00:00"/>
        <d v="2022-06-14T00:00:00"/>
        <d v="2022-06-17T00:00:00"/>
        <d v="2022-06-22T00:00:00"/>
        <d v="2022-06-30T00:00:00"/>
        <d v="2022-07-13T00:00:00"/>
        <d v="2022-07-14T00:00:00"/>
        <d v="2022-07-15T00:00:00"/>
        <d v="2022-07-18T00:00:00"/>
        <d v="2022-07-23T00:00:00"/>
        <d v="2022-07-31T00:00:00"/>
        <d v="2022-08-13T00:00:00"/>
        <d v="2022-08-14T00:00:00"/>
        <d v="2022-08-15T00:00:00"/>
        <d v="2022-08-18T00:00:00"/>
        <d v="2022-08-23T00:00:00"/>
        <d v="2022-08-31T00:00:00"/>
        <d v="2022-09-13T00:00:00"/>
        <d v="2022-09-14T00:00:00"/>
        <d v="2022-09-15T00:00:00"/>
        <d v="2022-09-18T00:00:00"/>
        <d v="2022-09-23T00:00:00"/>
        <d v="2022-10-01T00:00:00"/>
        <d v="2022-10-14T00:00:00"/>
        <d v="2022-10-15T00:00:00"/>
        <d v="2022-10-16T00:00:00"/>
        <d v="2022-10-19T00:00:00"/>
        <d v="2022-10-24T00:00:00"/>
        <d v="2022-11-01T00:00:00"/>
        <d v="2022-11-14T00:00:00"/>
        <d v="2022-11-15T00:00:00"/>
        <d v="2022-11-16T00:00:00"/>
        <d v="2022-11-19T00:00:00"/>
        <d v="2022-11-24T00:00:00"/>
        <d v="2022-12-02T00:00:00"/>
        <d v="2022-12-15T00:00:00"/>
        <d v="2022-12-16T00:00:00"/>
        <d v="2022-12-17T00:00:00"/>
        <d v="2022-12-20T00:00:00"/>
        <d v="2022-12-25T00:00:00"/>
        <d v="2023-01-02T00:00:00"/>
        <d v="2023-01-15T00:00:00"/>
        <d v="2023-01-16T00:00:00"/>
        <d v="2023-01-17T00:00:00"/>
        <d v="2023-01-20T00:00:00"/>
        <d v="2023-01-25T00:00:00"/>
        <d v="2023-02-02T00:00:00"/>
        <d v="2023-02-15T00:00:00"/>
        <d v="2023-02-16T00:00:00"/>
        <d v="2023-02-17T00:00:00"/>
        <d v="2023-02-20T00:00:00"/>
        <d v="2023-02-25T00:00:00"/>
        <d v="2023-03-05T00:00:00"/>
        <d v="2023-03-18T00:00:00"/>
        <d v="2023-03-19T00:00:00"/>
        <d v="2023-03-20T00:00:00"/>
        <d v="2023-03-23T00:00:00"/>
        <d v="2023-03-28T00:00:00"/>
        <d v="2023-04-05T00:00:00"/>
        <d v="2023-04-18T00:00:00"/>
        <d v="2023-04-19T00:00:00"/>
        <d v="2023-04-20T00:00:00"/>
        <d v="2023-04-23T00:00:00"/>
        <d v="2023-04-28T00:00:00"/>
        <d v="2023-05-06T00:00:00"/>
        <d v="2023-05-19T00:00:00"/>
        <d v="2023-05-20T00:00:00"/>
        <d v="2023-05-21T00:00:00"/>
        <d v="2023-05-24T00:00:00"/>
        <d v="2023-05-29T00:00:00"/>
        <d v="2023-06-06T00:00:00"/>
        <d v="2023-06-19T00:00:00"/>
        <d v="2023-06-20T00:00:00"/>
        <d v="2023-06-21T00:00:00"/>
        <d v="2023-06-24T00:00:00"/>
        <d v="2023-06-29T00:00:00"/>
        <d v="2023-07-07T00:00:00"/>
        <d v="2023-07-20T00:00:00"/>
        <d v="2023-07-21T00:00:00"/>
        <d v="2023-07-22T00:00:00"/>
        <d v="2023-07-25T00:00:00"/>
        <d v="2023-07-30T00:00:00"/>
        <d v="2023-08-07T00:00:00"/>
        <d v="2023-08-20T00:00:00"/>
        <d v="2023-08-21T00:00:00"/>
        <d v="2023-08-22T00:00:00"/>
        <d v="2023-08-25T00:00:00"/>
        <d v="2023-08-30T00:00:00"/>
        <d v="2023-09-07T00:00:00"/>
        <d v="2023-09-20T00:00:00"/>
        <d v="2023-09-21T00:00:00"/>
        <d v="2023-09-22T00:00:00"/>
        <d v="2023-09-25T00:00:00"/>
        <d v="2023-09-30T00:00:00"/>
        <d v="2023-10-08T00:00:00"/>
        <d v="2023-10-21T00:00:00"/>
        <d v="2023-10-22T00:00:00"/>
        <d v="2023-10-23T00:00:00"/>
        <d v="2023-10-26T00:00:00"/>
        <d v="2023-10-31T00:00:00"/>
        <d v="2023-11-08T00:00:00"/>
        <d v="2023-11-21T00:00:00"/>
        <d v="2023-11-22T00:00:00"/>
        <d v="2023-11-23T00:00:00"/>
        <d v="2023-11-26T00:00:00"/>
        <d v="2023-12-01T00:00:00"/>
        <d v="2023-12-09T00:00:00"/>
        <d v="2023-12-22T00:00:00"/>
        <d v="2023-12-23T00:00:00"/>
        <d v="2023-12-24T00:00:00"/>
        <d v="2023-12-27T00:00:00"/>
        <d v="2024-01-01T00:00:00"/>
        <d v="2024-01-09T00:00:00"/>
        <d v="2024-01-22T00:00:00"/>
        <d v="2024-01-23T00:00:00"/>
        <d v="2024-01-24T00:00:00"/>
        <d v="2024-01-27T00:00:00"/>
        <d v="2024-02-01T00:00:00"/>
        <d v="2024-02-09T00:00:00"/>
        <d v="2024-02-22T00:00:00"/>
        <d v="2024-02-23T00:00:00"/>
        <d v="2024-02-24T00:00:00"/>
        <d v="2024-02-27T00:00:00"/>
        <d v="2024-03-03T00:00:00"/>
        <d v="2024-03-11T00:00:00"/>
        <d v="2024-03-24T00:00:00"/>
        <d v="2024-03-25T00:00:00"/>
        <d v="2024-03-26T00:00:00"/>
        <d v="2024-03-29T00:00:00"/>
        <d v="2024-04-03T00:00:00"/>
        <d v="2024-04-11T00:00:00"/>
        <d v="2024-04-24T00:00:00"/>
        <d v="2024-04-25T00:00:00"/>
        <d v="2024-04-26T00:00:00"/>
        <d v="2024-04-29T00:00:00"/>
        <d v="2024-05-04T00:00:00"/>
        <d v="2024-05-12T00:00:00"/>
        <d v="2024-05-25T00:00:00"/>
        <d v="2024-05-26T00:00:00"/>
        <d v="2024-05-27T00:00:00"/>
        <d v="2024-05-30T00:00:00"/>
        <d v="2024-06-04T00:00:00"/>
        <d v="2024-06-12T00:00:00"/>
        <d v="2024-06-25T00:00:00"/>
        <d v="2024-06-26T00:00:00"/>
        <d v="2024-06-27T00:00:00"/>
        <d v="2024-06-30T00:00:00"/>
        <d v="2024-07-05T00:00:00"/>
        <d v="2024-07-13T00:00:00"/>
        <d v="2024-07-26T00:00:00"/>
        <d v="2024-07-27T00:00:00"/>
        <d v="2024-07-28T00:00:00"/>
        <d v="2024-07-31T00:00:00"/>
        <d v="2024-08-05T00:00:00"/>
        <d v="2024-08-13T00:00:00"/>
        <d v="2024-08-26T00:00:00"/>
        <d v="2024-08-27T00:00:00"/>
        <d v="2024-08-28T00:00:00"/>
        <d v="2024-08-31T00:00:00"/>
        <d v="2024-09-05T00:00:00"/>
        <d v="2024-09-13T00:00:00"/>
        <d v="2024-09-26T00:00:00"/>
        <d v="2024-09-27T00:00:00"/>
        <d v="2024-09-28T00:00:00"/>
        <d v="2024-10-01T00:00:00"/>
        <d v="2024-10-06T00:00:00"/>
        <d v="2024-10-14T00:00:00"/>
        <d v="2024-10-27T00:00:00"/>
        <d v="2024-10-28T00:00:00"/>
        <d v="2024-10-29T00:00:00"/>
        <d v="2024-11-01T00:00:00"/>
        <d v="2024-11-06T00:00:00"/>
        <d v="2024-11-14T00:00:00"/>
        <d v="2024-11-27T00:00:00"/>
        <d v="2024-11-28T00:00:00"/>
        <d v="2024-11-29T00:00:00"/>
        <d v="2024-12-02T00:00:00"/>
        <d v="2024-12-07T00:00:00"/>
        <d v="2024-12-15T00:00:00"/>
        <d v="2024-12-28T00:00:00"/>
        <d v="2024-12-29T00:00:00"/>
        <d v="2024-12-30T00:00:00"/>
        <d v="2025-01-02T00:00:00"/>
        <d v="2025-01-07T00:00:00"/>
        <d v="2025-01-15T00:00:00"/>
        <d v="2025-01-28T00:00:00"/>
        <d v="2025-01-29T00:00:00"/>
        <d v="2025-01-30T00:00:00"/>
        <d v="2025-02-02T00:00:00"/>
        <d v="2025-02-07T00:00:00"/>
        <d v="2025-02-15T00:00:00"/>
        <d v="2025-02-28T00:00:00"/>
        <d v="2025-03-01T00:00:00"/>
        <d v="2025-03-02T00:00:00"/>
        <d v="2025-03-05T00:00:00"/>
        <d v="2025-03-10T00:00:00"/>
        <d v="2025-03-18T00:00:00"/>
        <d v="2025-03-31T00:00:00"/>
        <d v="2025-04-01T00:00:00"/>
        <d v="2025-04-02T00:00:00"/>
        <d v="2025-04-05T00:00:00"/>
        <d v="2025-04-10T00:00:00"/>
        <d v="2025-04-18T00:00:00"/>
        <d v="2025-05-01T00:00:00"/>
        <d v="2025-05-02T00:00:00"/>
        <d v="2025-05-03T00:00:00"/>
        <d v="2025-05-06T00:00:00"/>
        <d v="2025-05-11T00:00:00"/>
        <d v="2025-05-19T00:00:00"/>
        <d v="2025-06-01T00:00:00"/>
        <d v="2025-06-02T00:00:00"/>
        <d v="2025-06-03T00:00:00"/>
        <d v="2025-06-06T00:00:00"/>
        <d v="2025-06-11T00:00:00"/>
        <d v="2025-06-19T00:00:00"/>
        <d v="2025-07-02T00:00:00"/>
        <d v="2025-07-03T00:00:00"/>
        <d v="2025-07-04T00:00:00"/>
        <d v="2025-07-07T00:00:00"/>
        <d v="2025-07-12T00:00:00"/>
        <d v="2025-07-20T00:00:00"/>
        <d v="2025-08-02T00:00:00"/>
        <d v="2025-08-03T00:00:00"/>
        <d v="2025-08-04T00:00:00"/>
        <d v="2025-08-07T00:00:00"/>
        <d v="2025-08-12T00:00:00"/>
        <d v="2025-08-20T00:00:00"/>
        <d v="2025-09-02T00:00:00"/>
        <d v="2025-09-03T00:00:00"/>
        <d v="2025-09-04T00:00:00"/>
        <d v="2025-09-07T00:00:00"/>
        <d v="2025-09-12T00:00:00"/>
        <d v="2025-09-20T00:00:00"/>
        <d v="2025-10-03T00:00:00"/>
        <d v="2025-10-04T00:00:00"/>
        <d v="2025-10-05T00:00:00"/>
        <d v="2025-10-08T00:00:00"/>
        <d v="2025-10-13T00:00:00"/>
        <d v="2025-10-21T00:00:00"/>
        <d v="2025-11-03T00:00:00"/>
        <d v="2025-11-04T00:00:00"/>
        <d v="2025-11-05T00:00:00"/>
        <d v="2025-11-08T00:00:00"/>
        <d v="2025-11-13T00:00:00"/>
        <d v="2025-11-21T00:00:00"/>
        <d v="2025-12-04T00:00:00"/>
        <d v="2025-12-05T00:00:00"/>
        <d v="2025-12-06T00:00:00"/>
        <d v="2025-12-09T00:00:00"/>
        <d v="2025-12-14T00:00:00"/>
        <d v="2025-12-22T00:00:00"/>
      </sharedItems>
      <fieldGroup par="6"/>
    </cacheField>
    <cacheField name="BillingCountry" numFmtId="0">
      <sharedItems count="24">
        <s v="Germany"/>
        <s v="Norway"/>
        <s v="Belgium"/>
        <s v="Canada"/>
        <s v="USA"/>
        <s v="France"/>
        <s v="Ireland"/>
        <s v="United Kingdom"/>
        <s v="Australia"/>
        <s v="Chile"/>
        <s v="India"/>
        <s v="Brazil"/>
        <s v="Portugal"/>
        <s v="Netherlands"/>
        <s v="Spain"/>
        <s v="Sweden"/>
        <s v="Czech Republic"/>
        <s v="Finland"/>
        <s v="Denmark"/>
        <s v="Italy"/>
        <s v="Poland"/>
        <s v="Austria"/>
        <s v="Hungary"/>
        <s v="Argentina"/>
      </sharedItems>
    </cacheField>
    <cacheField name="Total" numFmtId="0">
      <sharedItems containsSemiMixedTypes="0" containsString="0" containsNumber="1" minValue="0.99" maxValue="25.86"/>
    </cacheField>
    <cacheField name="Mois (InvoiceDate)" numFmtId="0" databaseField="0">
      <fieldGroup base="1">
        <rangePr groupBy="months" startDate="2021-01-01T00:00:00" endDate="2025-12-23T00:00:00"/>
        <groupItems count="14">
          <s v="&lt;01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3/12/2025"/>
        </groupItems>
      </fieldGroup>
    </cacheField>
    <cacheField name="Trimestres (InvoiceDate)" numFmtId="0" databaseField="0">
      <fieldGroup base="1">
        <rangePr groupBy="quarters" startDate="2021-01-01T00:00:00" endDate="2025-12-23T00:00:00"/>
        <groupItems count="6">
          <s v="&lt;01/01/2021"/>
          <s v="Trimestre1"/>
          <s v="Trimestre2"/>
          <s v="Trimestre3"/>
          <s v="Trimestre4"/>
          <s v="&gt;23/12/2025"/>
        </groupItems>
      </fieldGroup>
    </cacheField>
    <cacheField name="Années (InvoiceDate)" numFmtId="0" databaseField="0">
      <fieldGroup base="1">
        <rangePr groupBy="years" startDate="2021-01-01T00:00:00" endDate="2025-12-23T00:00:00"/>
        <groupItems count="7">
          <s v="&lt;01/01/2021"/>
          <s v="2021"/>
          <s v="2022"/>
          <s v="2023"/>
          <s v="2024"/>
          <s v="2025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 pivotCacheId="120545234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23.05999999999995"/>
    <n v="0.29536060352810967"/>
  </r>
  <r>
    <x v="1"/>
    <n v="303.95999999999998"/>
    <n v="0.171639599756059"/>
  </r>
  <r>
    <x v="2"/>
    <n v="195.1"/>
    <n v="0.11016872586000498"/>
  </r>
  <r>
    <x v="3"/>
    <n v="190.1"/>
    <n v="0.10734533462832878"/>
  </r>
  <r>
    <x v="4"/>
    <n v="156.47999999999999"/>
    <n v="8.8360851986538078E-2"/>
  </r>
  <r>
    <x v="5"/>
    <n v="112.86"/>
    <n v="6.372958688139499E-2"/>
  </r>
  <r>
    <x v="6"/>
    <n v="90.24"/>
    <n v="5.0956564949291898E-2"/>
  </r>
  <r>
    <x v="7"/>
    <n v="77.239999999999995"/>
    <n v="4.3615747746933796E-2"/>
  </r>
  <r>
    <x v="8"/>
    <n v="75.260000000000005"/>
    <n v="4.2497684819190029E-2"/>
  </r>
  <r>
    <x v="9"/>
    <n v="46.62"/>
    <n v="2.6325299844148806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">
  <r>
    <n v="1"/>
    <x v="0"/>
    <x v="0"/>
    <n v="1.98"/>
  </r>
  <r>
    <n v="2"/>
    <x v="1"/>
    <x v="1"/>
    <n v="3.96"/>
  </r>
  <r>
    <n v="3"/>
    <x v="2"/>
    <x v="2"/>
    <n v="5.94"/>
  </r>
  <r>
    <n v="4"/>
    <x v="3"/>
    <x v="3"/>
    <n v="8.91"/>
  </r>
  <r>
    <n v="5"/>
    <x v="4"/>
    <x v="4"/>
    <n v="13.86"/>
  </r>
  <r>
    <n v="6"/>
    <x v="5"/>
    <x v="0"/>
    <n v="0.99"/>
  </r>
  <r>
    <n v="7"/>
    <x v="6"/>
    <x v="0"/>
    <n v="1.98"/>
  </r>
  <r>
    <n v="8"/>
    <x v="6"/>
    <x v="5"/>
    <n v="1.98"/>
  </r>
  <r>
    <n v="9"/>
    <x v="7"/>
    <x v="5"/>
    <n v="3.96"/>
  </r>
  <r>
    <n v="10"/>
    <x v="8"/>
    <x v="6"/>
    <n v="5.94"/>
  </r>
  <r>
    <n v="11"/>
    <x v="9"/>
    <x v="7"/>
    <n v="8.91"/>
  </r>
  <r>
    <n v="12"/>
    <x v="10"/>
    <x v="0"/>
    <n v="13.86"/>
  </r>
  <r>
    <n v="13"/>
    <x v="11"/>
    <x v="4"/>
    <n v="0.99"/>
  </r>
  <r>
    <n v="14"/>
    <x v="12"/>
    <x v="4"/>
    <n v="1.98"/>
  </r>
  <r>
    <n v="15"/>
    <x v="12"/>
    <x v="4"/>
    <n v="1.98"/>
  </r>
  <r>
    <n v="16"/>
    <x v="13"/>
    <x v="4"/>
    <n v="3.96"/>
  </r>
  <r>
    <n v="17"/>
    <x v="14"/>
    <x v="4"/>
    <n v="5.94"/>
  </r>
  <r>
    <n v="18"/>
    <x v="15"/>
    <x v="3"/>
    <n v="8.91"/>
  </r>
  <r>
    <n v="19"/>
    <x v="16"/>
    <x v="5"/>
    <n v="13.86"/>
  </r>
  <r>
    <n v="20"/>
    <x v="17"/>
    <x v="7"/>
    <n v="0.99"/>
  </r>
  <r>
    <n v="21"/>
    <x v="18"/>
    <x v="8"/>
    <n v="1.98"/>
  </r>
  <r>
    <n v="22"/>
    <x v="18"/>
    <x v="9"/>
    <n v="1.98"/>
  </r>
  <r>
    <n v="23"/>
    <x v="19"/>
    <x v="10"/>
    <n v="3.96"/>
  </r>
  <r>
    <n v="24"/>
    <x v="20"/>
    <x v="1"/>
    <n v="5.94"/>
  </r>
  <r>
    <n v="25"/>
    <x v="21"/>
    <x v="11"/>
    <n v="8.91"/>
  </r>
  <r>
    <n v="26"/>
    <x v="22"/>
    <x v="4"/>
    <n v="13.86"/>
  </r>
  <r>
    <n v="27"/>
    <x v="23"/>
    <x v="3"/>
    <n v="0.99"/>
  </r>
  <r>
    <n v="28"/>
    <x v="24"/>
    <x v="12"/>
    <n v="1.98"/>
  </r>
  <r>
    <n v="29"/>
    <x v="24"/>
    <x v="0"/>
    <n v="1.98"/>
  </r>
  <r>
    <n v="30"/>
    <x v="25"/>
    <x v="0"/>
    <n v="3.96"/>
  </r>
  <r>
    <n v="31"/>
    <x v="26"/>
    <x v="5"/>
    <n v="5.94"/>
  </r>
  <r>
    <n v="32"/>
    <x v="27"/>
    <x v="13"/>
    <n v="8.91"/>
  </r>
  <r>
    <n v="33"/>
    <x v="28"/>
    <x v="9"/>
    <n v="13.86"/>
  </r>
  <r>
    <n v="34"/>
    <x v="29"/>
    <x v="11"/>
    <n v="0.99"/>
  </r>
  <r>
    <n v="35"/>
    <x v="30"/>
    <x v="11"/>
    <n v="1.98"/>
  </r>
  <r>
    <n v="36"/>
    <x v="30"/>
    <x v="3"/>
    <n v="1.98"/>
  </r>
  <r>
    <n v="37"/>
    <x v="31"/>
    <x v="4"/>
    <n v="3.96"/>
  </r>
  <r>
    <n v="38"/>
    <x v="32"/>
    <x v="4"/>
    <n v="5.94"/>
  </r>
  <r>
    <n v="39"/>
    <x v="33"/>
    <x v="4"/>
    <n v="8.91"/>
  </r>
  <r>
    <n v="40"/>
    <x v="34"/>
    <x v="0"/>
    <n v="13.86"/>
  </r>
  <r>
    <n v="41"/>
    <x v="35"/>
    <x v="14"/>
    <n v="0.99"/>
  </r>
  <r>
    <n v="42"/>
    <x v="36"/>
    <x v="15"/>
    <n v="1.98"/>
  </r>
  <r>
    <n v="43"/>
    <x v="36"/>
    <x v="7"/>
    <n v="1.98"/>
  </r>
  <r>
    <n v="44"/>
    <x v="37"/>
    <x v="8"/>
    <n v="3.96"/>
  </r>
  <r>
    <n v="45"/>
    <x v="38"/>
    <x v="10"/>
    <n v="5.94"/>
  </r>
  <r>
    <n v="46"/>
    <x v="39"/>
    <x v="16"/>
    <n v="8.91"/>
  </r>
  <r>
    <n v="47"/>
    <x v="40"/>
    <x v="3"/>
    <n v="13.86"/>
  </r>
  <r>
    <n v="48"/>
    <x v="41"/>
    <x v="3"/>
    <n v="0.99"/>
  </r>
  <r>
    <n v="49"/>
    <x v="42"/>
    <x v="3"/>
    <n v="1.98"/>
  </r>
  <r>
    <n v="50"/>
    <x v="42"/>
    <x v="3"/>
    <n v="1.98"/>
  </r>
  <r>
    <n v="51"/>
    <x v="43"/>
    <x v="12"/>
    <n v="3.96"/>
  </r>
  <r>
    <n v="52"/>
    <x v="44"/>
    <x v="0"/>
    <n v="5.94"/>
  </r>
  <r>
    <n v="53"/>
    <x v="45"/>
    <x v="17"/>
    <n v="8.91"/>
  </r>
  <r>
    <n v="54"/>
    <x v="46"/>
    <x v="7"/>
    <n v="13.86"/>
  </r>
  <r>
    <n v="55"/>
    <x v="47"/>
    <x v="2"/>
    <n v="0.99"/>
  </r>
  <r>
    <n v="56"/>
    <x v="48"/>
    <x v="18"/>
    <n v="1.98"/>
  </r>
  <r>
    <n v="57"/>
    <x v="48"/>
    <x v="11"/>
    <n v="1.98"/>
  </r>
  <r>
    <n v="58"/>
    <x v="49"/>
    <x v="11"/>
    <n v="3.96"/>
  </r>
  <r>
    <n v="59"/>
    <x v="50"/>
    <x v="4"/>
    <n v="5.94"/>
  </r>
  <r>
    <n v="60"/>
    <x v="51"/>
    <x v="4"/>
    <n v="8.91"/>
  </r>
  <r>
    <n v="61"/>
    <x v="52"/>
    <x v="3"/>
    <n v="13.86"/>
  </r>
  <r>
    <n v="62"/>
    <x v="53"/>
    <x v="6"/>
    <n v="0.99"/>
  </r>
  <r>
    <n v="63"/>
    <x v="54"/>
    <x v="19"/>
    <n v="1.98"/>
  </r>
  <r>
    <n v="64"/>
    <x v="54"/>
    <x v="20"/>
    <n v="1.98"/>
  </r>
  <r>
    <n v="65"/>
    <x v="55"/>
    <x v="15"/>
    <n v="3.96"/>
  </r>
  <r>
    <n v="66"/>
    <x v="56"/>
    <x v="8"/>
    <n v="5.94"/>
  </r>
  <r>
    <n v="67"/>
    <x v="57"/>
    <x v="0"/>
    <n v="8.91"/>
  </r>
  <r>
    <n v="68"/>
    <x v="58"/>
    <x v="11"/>
    <n v="13.86"/>
  </r>
  <r>
    <n v="69"/>
    <x v="59"/>
    <x v="4"/>
    <n v="0.99"/>
  </r>
  <r>
    <n v="70"/>
    <x v="60"/>
    <x v="4"/>
    <n v="1.98"/>
  </r>
  <r>
    <n v="71"/>
    <x v="60"/>
    <x v="4"/>
    <n v="1.98"/>
  </r>
  <r>
    <n v="72"/>
    <x v="61"/>
    <x v="3"/>
    <n v="3.96"/>
  </r>
  <r>
    <n v="73"/>
    <x v="62"/>
    <x v="12"/>
    <n v="5.94"/>
  </r>
  <r>
    <n v="74"/>
    <x v="63"/>
    <x v="5"/>
    <n v="8.91"/>
  </r>
  <r>
    <n v="75"/>
    <x v="64"/>
    <x v="20"/>
    <n v="13.86"/>
  </r>
  <r>
    <n v="76"/>
    <x v="65"/>
    <x v="1"/>
    <n v="0.99"/>
  </r>
  <r>
    <n v="77"/>
    <x v="66"/>
    <x v="16"/>
    <n v="1.98"/>
  </r>
  <r>
    <n v="78"/>
    <x v="66"/>
    <x v="21"/>
    <n v="1.98"/>
  </r>
  <r>
    <n v="79"/>
    <x v="67"/>
    <x v="18"/>
    <n v="3.96"/>
  </r>
  <r>
    <n v="80"/>
    <x v="68"/>
    <x v="11"/>
    <n v="5.94"/>
  </r>
  <r>
    <n v="81"/>
    <x v="69"/>
    <x v="4"/>
    <n v="8.91"/>
  </r>
  <r>
    <n v="82"/>
    <x v="70"/>
    <x v="4"/>
    <n v="13.86"/>
  </r>
  <r>
    <n v="83"/>
    <x v="71"/>
    <x v="5"/>
    <n v="0.99"/>
  </r>
  <r>
    <n v="84"/>
    <x v="72"/>
    <x v="5"/>
    <n v="1.98"/>
  </r>
  <r>
    <n v="85"/>
    <x v="72"/>
    <x v="22"/>
    <n v="1.98"/>
  </r>
  <r>
    <n v="86"/>
    <x v="73"/>
    <x v="19"/>
    <n v="3.96"/>
  </r>
  <r>
    <n v="87"/>
    <x v="74"/>
    <x v="15"/>
    <n v="6.94"/>
  </r>
  <r>
    <n v="88"/>
    <x v="75"/>
    <x v="9"/>
    <n v="17.91"/>
  </r>
  <r>
    <n v="89"/>
    <x v="76"/>
    <x v="21"/>
    <n v="18.86"/>
  </r>
  <r>
    <n v="90"/>
    <x v="77"/>
    <x v="4"/>
    <n v="0.99"/>
  </r>
  <r>
    <n v="91"/>
    <x v="78"/>
    <x v="4"/>
    <n v="1.98"/>
  </r>
  <r>
    <n v="92"/>
    <x v="78"/>
    <x v="4"/>
    <n v="1.98"/>
  </r>
  <r>
    <n v="93"/>
    <x v="79"/>
    <x v="4"/>
    <n v="3.96"/>
  </r>
  <r>
    <n v="94"/>
    <x v="80"/>
    <x v="3"/>
    <n v="5.94"/>
  </r>
  <r>
    <n v="95"/>
    <x v="81"/>
    <x v="0"/>
    <n v="8.91"/>
  </r>
  <r>
    <n v="96"/>
    <x v="82"/>
    <x v="22"/>
    <n v="21.86"/>
  </r>
  <r>
    <n v="97"/>
    <x v="83"/>
    <x v="10"/>
    <n v="1.99"/>
  </r>
  <r>
    <n v="98"/>
    <x v="84"/>
    <x v="11"/>
    <n v="3.98"/>
  </r>
  <r>
    <n v="99"/>
    <x v="84"/>
    <x v="3"/>
    <n v="3.98"/>
  </r>
  <r>
    <n v="100"/>
    <x v="85"/>
    <x v="16"/>
    <n v="3.96"/>
  </r>
  <r>
    <n v="101"/>
    <x v="86"/>
    <x v="18"/>
    <n v="5.94"/>
  </r>
  <r>
    <n v="102"/>
    <x v="87"/>
    <x v="3"/>
    <n v="9.91"/>
  </r>
  <r>
    <n v="103"/>
    <x v="88"/>
    <x v="4"/>
    <n v="15.86"/>
  </r>
  <r>
    <n v="104"/>
    <x v="89"/>
    <x v="0"/>
    <n v="0.99"/>
  </r>
  <r>
    <n v="105"/>
    <x v="90"/>
    <x v="5"/>
    <n v="1.98"/>
  </r>
  <r>
    <n v="106"/>
    <x v="90"/>
    <x v="5"/>
    <n v="1.98"/>
  </r>
  <r>
    <n v="107"/>
    <x v="91"/>
    <x v="5"/>
    <n v="3.96"/>
  </r>
  <r>
    <n v="108"/>
    <x v="92"/>
    <x v="19"/>
    <n v="5.94"/>
  </r>
  <r>
    <n v="109"/>
    <x v="93"/>
    <x v="7"/>
    <n v="8.91"/>
  </r>
  <r>
    <n v="110"/>
    <x v="94"/>
    <x v="3"/>
    <n v="13.86"/>
  </r>
  <r>
    <n v="111"/>
    <x v="95"/>
    <x v="4"/>
    <n v="0.99"/>
  </r>
  <r>
    <n v="112"/>
    <x v="96"/>
    <x v="4"/>
    <n v="1.98"/>
  </r>
  <r>
    <n v="113"/>
    <x v="96"/>
    <x v="4"/>
    <n v="1.98"/>
  </r>
  <r>
    <n v="114"/>
    <x v="97"/>
    <x v="4"/>
    <n v="3.96"/>
  </r>
  <r>
    <n v="115"/>
    <x v="98"/>
    <x v="4"/>
    <n v="5.94"/>
  </r>
  <r>
    <n v="116"/>
    <x v="99"/>
    <x v="3"/>
    <n v="8.91"/>
  </r>
  <r>
    <n v="117"/>
    <x v="100"/>
    <x v="5"/>
    <n v="13.86"/>
  </r>
  <r>
    <n v="118"/>
    <x v="101"/>
    <x v="8"/>
    <n v="0.99"/>
  </r>
  <r>
    <n v="119"/>
    <x v="102"/>
    <x v="23"/>
    <n v="1.98"/>
  </r>
  <r>
    <n v="120"/>
    <x v="102"/>
    <x v="10"/>
    <n v="1.98"/>
  </r>
  <r>
    <n v="121"/>
    <x v="103"/>
    <x v="11"/>
    <n v="3.96"/>
  </r>
  <r>
    <n v="122"/>
    <x v="104"/>
    <x v="16"/>
    <n v="5.94"/>
  </r>
  <r>
    <n v="123"/>
    <x v="105"/>
    <x v="11"/>
    <n v="8.91"/>
  </r>
  <r>
    <n v="124"/>
    <x v="106"/>
    <x v="4"/>
    <n v="13.86"/>
  </r>
  <r>
    <n v="125"/>
    <x v="107"/>
    <x v="12"/>
    <n v="0.99"/>
  </r>
  <r>
    <n v="126"/>
    <x v="108"/>
    <x v="12"/>
    <n v="1.98"/>
  </r>
  <r>
    <n v="127"/>
    <x v="108"/>
    <x v="0"/>
    <n v="1.98"/>
  </r>
  <r>
    <n v="128"/>
    <x v="109"/>
    <x v="5"/>
    <n v="3.96"/>
  </r>
  <r>
    <n v="129"/>
    <x v="110"/>
    <x v="5"/>
    <n v="5.94"/>
  </r>
  <r>
    <n v="130"/>
    <x v="111"/>
    <x v="20"/>
    <n v="8.91"/>
  </r>
  <r>
    <n v="131"/>
    <x v="112"/>
    <x v="10"/>
    <n v="13.86"/>
  </r>
  <r>
    <n v="132"/>
    <x v="113"/>
    <x v="11"/>
    <n v="0.99"/>
  </r>
  <r>
    <n v="133"/>
    <x v="114"/>
    <x v="3"/>
    <n v="1.98"/>
  </r>
  <r>
    <n v="134"/>
    <x v="114"/>
    <x v="4"/>
    <n v="1.98"/>
  </r>
  <r>
    <n v="135"/>
    <x v="115"/>
    <x v="4"/>
    <n v="3.96"/>
  </r>
  <r>
    <n v="136"/>
    <x v="116"/>
    <x v="4"/>
    <n v="5.94"/>
  </r>
  <r>
    <n v="137"/>
    <x v="117"/>
    <x v="4"/>
    <n v="8.91"/>
  </r>
  <r>
    <n v="138"/>
    <x v="118"/>
    <x v="0"/>
    <n v="13.86"/>
  </r>
  <r>
    <n v="139"/>
    <x v="119"/>
    <x v="15"/>
    <n v="0.99"/>
  </r>
  <r>
    <n v="140"/>
    <x v="120"/>
    <x v="7"/>
    <n v="1.98"/>
  </r>
  <r>
    <n v="141"/>
    <x v="120"/>
    <x v="7"/>
    <n v="1.98"/>
  </r>
  <r>
    <n v="142"/>
    <x v="121"/>
    <x v="23"/>
    <n v="3.96"/>
  </r>
  <r>
    <n v="143"/>
    <x v="122"/>
    <x v="11"/>
    <n v="5.94"/>
  </r>
  <r>
    <n v="144"/>
    <x v="123"/>
    <x v="21"/>
    <n v="8.91"/>
  </r>
  <r>
    <n v="145"/>
    <x v="124"/>
    <x v="4"/>
    <n v="13.86"/>
  </r>
  <r>
    <n v="146"/>
    <x v="125"/>
    <x v="3"/>
    <n v="0.99"/>
  </r>
  <r>
    <n v="147"/>
    <x v="126"/>
    <x v="3"/>
    <n v="1.98"/>
  </r>
  <r>
    <n v="148"/>
    <x v="126"/>
    <x v="3"/>
    <n v="1.98"/>
  </r>
  <r>
    <n v="149"/>
    <x v="127"/>
    <x v="12"/>
    <n v="3.96"/>
  </r>
  <r>
    <n v="150"/>
    <x v="128"/>
    <x v="5"/>
    <n v="5.94"/>
  </r>
  <r>
    <n v="151"/>
    <x v="129"/>
    <x v="22"/>
    <n v="8.91"/>
  </r>
  <r>
    <n v="152"/>
    <x v="130"/>
    <x v="7"/>
    <n v="13.86"/>
  </r>
  <r>
    <n v="153"/>
    <x v="131"/>
    <x v="18"/>
    <n v="0.99"/>
  </r>
  <r>
    <n v="154"/>
    <x v="132"/>
    <x v="11"/>
    <n v="1.98"/>
  </r>
  <r>
    <n v="155"/>
    <x v="132"/>
    <x v="11"/>
    <n v="1.98"/>
  </r>
  <r>
    <n v="156"/>
    <x v="133"/>
    <x v="3"/>
    <n v="3.96"/>
  </r>
  <r>
    <n v="157"/>
    <x v="134"/>
    <x v="4"/>
    <n v="5.94"/>
  </r>
  <r>
    <n v="158"/>
    <x v="135"/>
    <x v="4"/>
    <n v="8.91"/>
  </r>
  <r>
    <n v="159"/>
    <x v="136"/>
    <x v="3"/>
    <n v="13.86"/>
  </r>
  <r>
    <n v="160"/>
    <x v="137"/>
    <x v="19"/>
    <n v="0.99"/>
  </r>
  <r>
    <n v="161"/>
    <x v="138"/>
    <x v="13"/>
    <n v="1.98"/>
  </r>
  <r>
    <n v="162"/>
    <x v="138"/>
    <x v="14"/>
    <n v="1.98"/>
  </r>
  <r>
    <n v="163"/>
    <x v="139"/>
    <x v="7"/>
    <n v="3.96"/>
  </r>
  <r>
    <n v="164"/>
    <x v="140"/>
    <x v="23"/>
    <n v="5.94"/>
  </r>
  <r>
    <n v="165"/>
    <x v="141"/>
    <x v="3"/>
    <n v="8.91"/>
  </r>
  <r>
    <n v="166"/>
    <x v="142"/>
    <x v="11"/>
    <n v="13.86"/>
  </r>
  <r>
    <n v="167"/>
    <x v="143"/>
    <x v="4"/>
    <n v="0.99"/>
  </r>
  <r>
    <n v="168"/>
    <x v="144"/>
    <x v="4"/>
    <n v="1.98"/>
  </r>
  <r>
    <n v="169"/>
    <x v="144"/>
    <x v="3"/>
    <n v="1.98"/>
  </r>
  <r>
    <n v="170"/>
    <x v="145"/>
    <x v="3"/>
    <n v="3.96"/>
  </r>
  <r>
    <n v="171"/>
    <x v="146"/>
    <x v="12"/>
    <n v="5.94"/>
  </r>
  <r>
    <n v="172"/>
    <x v="147"/>
    <x v="5"/>
    <n v="8.91"/>
  </r>
  <r>
    <n v="173"/>
    <x v="148"/>
    <x v="14"/>
    <n v="13.86"/>
  </r>
  <r>
    <n v="174"/>
    <x v="149"/>
    <x v="16"/>
    <n v="0.99"/>
  </r>
  <r>
    <n v="175"/>
    <x v="150"/>
    <x v="16"/>
    <n v="1.98"/>
  </r>
  <r>
    <n v="176"/>
    <x v="150"/>
    <x v="2"/>
    <n v="1.98"/>
  </r>
  <r>
    <n v="177"/>
    <x v="151"/>
    <x v="11"/>
    <n v="3.96"/>
  </r>
  <r>
    <n v="178"/>
    <x v="152"/>
    <x v="3"/>
    <n v="5.94"/>
  </r>
  <r>
    <n v="179"/>
    <x v="153"/>
    <x v="4"/>
    <n v="8.91"/>
  </r>
  <r>
    <n v="180"/>
    <x v="154"/>
    <x v="3"/>
    <n v="13.86"/>
  </r>
  <r>
    <n v="181"/>
    <x v="155"/>
    <x v="5"/>
    <n v="0.99"/>
  </r>
  <r>
    <n v="182"/>
    <x v="156"/>
    <x v="17"/>
    <n v="1.98"/>
  </r>
  <r>
    <n v="183"/>
    <x v="156"/>
    <x v="6"/>
    <n v="1.98"/>
  </r>
  <r>
    <n v="184"/>
    <x v="157"/>
    <x v="13"/>
    <n v="3.96"/>
  </r>
  <r>
    <n v="185"/>
    <x v="158"/>
    <x v="7"/>
    <n v="5.94"/>
  </r>
  <r>
    <n v="186"/>
    <x v="159"/>
    <x v="10"/>
    <n v="8.91"/>
  </r>
  <r>
    <n v="187"/>
    <x v="160"/>
    <x v="2"/>
    <n v="13.86"/>
  </r>
  <r>
    <n v="188"/>
    <x v="161"/>
    <x v="4"/>
    <n v="0.99"/>
  </r>
  <r>
    <n v="189"/>
    <x v="162"/>
    <x v="4"/>
    <n v="1.98"/>
  </r>
  <r>
    <n v="190"/>
    <x v="162"/>
    <x v="4"/>
    <n v="1.98"/>
  </r>
  <r>
    <n v="191"/>
    <x v="163"/>
    <x v="4"/>
    <n v="3.96"/>
  </r>
  <r>
    <n v="192"/>
    <x v="164"/>
    <x v="3"/>
    <n v="5.94"/>
  </r>
  <r>
    <n v="193"/>
    <x v="165"/>
    <x v="0"/>
    <n v="14.91"/>
  </r>
  <r>
    <n v="194"/>
    <x v="166"/>
    <x v="6"/>
    <n v="21.86"/>
  </r>
  <r>
    <n v="195"/>
    <x v="167"/>
    <x v="11"/>
    <n v="0.99"/>
  </r>
  <r>
    <n v="196"/>
    <x v="168"/>
    <x v="0"/>
    <n v="1.98"/>
  </r>
  <r>
    <n v="197"/>
    <x v="168"/>
    <x v="1"/>
    <n v="1.98"/>
  </r>
  <r>
    <n v="198"/>
    <x v="169"/>
    <x v="16"/>
    <n v="3.96"/>
  </r>
  <r>
    <n v="199"/>
    <x v="170"/>
    <x v="11"/>
    <n v="5.94"/>
  </r>
  <r>
    <n v="200"/>
    <x v="171"/>
    <x v="4"/>
    <n v="8.91"/>
  </r>
  <r>
    <n v="201"/>
    <x v="172"/>
    <x v="4"/>
    <n v="18.86"/>
  </r>
  <r>
    <n v="202"/>
    <x v="173"/>
    <x v="5"/>
    <n v="1.99"/>
  </r>
  <r>
    <n v="203"/>
    <x v="174"/>
    <x v="5"/>
    <n v="2.98"/>
  </r>
  <r>
    <n v="204"/>
    <x v="174"/>
    <x v="5"/>
    <n v="3.98"/>
  </r>
  <r>
    <n v="205"/>
    <x v="175"/>
    <x v="17"/>
    <n v="7.96"/>
  </r>
  <r>
    <n v="206"/>
    <x v="176"/>
    <x v="13"/>
    <n v="8.94"/>
  </r>
  <r>
    <n v="207"/>
    <x v="177"/>
    <x v="7"/>
    <n v="8.91"/>
  </r>
  <r>
    <n v="208"/>
    <x v="178"/>
    <x v="1"/>
    <n v="15.86"/>
  </r>
  <r>
    <n v="209"/>
    <x v="179"/>
    <x v="4"/>
    <n v="0.99"/>
  </r>
  <r>
    <n v="210"/>
    <x v="180"/>
    <x v="4"/>
    <n v="1.98"/>
  </r>
  <r>
    <n v="211"/>
    <x v="180"/>
    <x v="4"/>
    <n v="1.98"/>
  </r>
  <r>
    <n v="212"/>
    <x v="181"/>
    <x v="4"/>
    <n v="3.96"/>
  </r>
  <r>
    <n v="213"/>
    <x v="182"/>
    <x v="4"/>
    <n v="5.94"/>
  </r>
  <r>
    <n v="214"/>
    <x v="183"/>
    <x v="3"/>
    <n v="8.91"/>
  </r>
  <r>
    <n v="215"/>
    <x v="184"/>
    <x v="5"/>
    <n v="13.86"/>
  </r>
  <r>
    <n v="216"/>
    <x v="185"/>
    <x v="23"/>
    <n v="0.99"/>
  </r>
  <r>
    <n v="217"/>
    <x v="186"/>
    <x v="9"/>
    <n v="1.98"/>
  </r>
  <r>
    <n v="218"/>
    <x v="186"/>
    <x v="10"/>
    <n v="1.98"/>
  </r>
  <r>
    <n v="219"/>
    <x v="187"/>
    <x v="0"/>
    <n v="3.96"/>
  </r>
  <r>
    <n v="220"/>
    <x v="188"/>
    <x v="16"/>
    <n v="5.94"/>
  </r>
  <r>
    <n v="221"/>
    <x v="189"/>
    <x v="11"/>
    <n v="8.91"/>
  </r>
  <r>
    <n v="222"/>
    <x v="190"/>
    <x v="4"/>
    <n v="13.86"/>
  </r>
  <r>
    <n v="223"/>
    <x v="191"/>
    <x v="12"/>
    <n v="0.99"/>
  </r>
  <r>
    <n v="224"/>
    <x v="192"/>
    <x v="0"/>
    <n v="1.98"/>
  </r>
  <r>
    <n v="225"/>
    <x v="192"/>
    <x v="0"/>
    <n v="1.98"/>
  </r>
  <r>
    <n v="226"/>
    <x v="193"/>
    <x v="5"/>
    <n v="3.96"/>
  </r>
  <r>
    <n v="227"/>
    <x v="194"/>
    <x v="17"/>
    <n v="5.94"/>
  </r>
  <r>
    <n v="228"/>
    <x v="195"/>
    <x v="14"/>
    <n v="8.91"/>
  </r>
  <r>
    <n v="229"/>
    <x v="196"/>
    <x v="10"/>
    <n v="13.86"/>
  </r>
  <r>
    <n v="230"/>
    <x v="197"/>
    <x v="3"/>
    <n v="0.99"/>
  </r>
  <r>
    <n v="231"/>
    <x v="198"/>
    <x v="3"/>
    <n v="1.98"/>
  </r>
  <r>
    <n v="232"/>
    <x v="198"/>
    <x v="4"/>
    <n v="1.98"/>
  </r>
  <r>
    <n v="233"/>
    <x v="199"/>
    <x v="4"/>
    <n v="3.96"/>
  </r>
  <r>
    <n v="234"/>
    <x v="200"/>
    <x v="4"/>
    <n v="5.94"/>
  </r>
  <r>
    <n v="235"/>
    <x v="201"/>
    <x v="3"/>
    <n v="8.91"/>
  </r>
  <r>
    <n v="236"/>
    <x v="202"/>
    <x v="0"/>
    <n v="13.86"/>
  </r>
  <r>
    <n v="237"/>
    <x v="203"/>
    <x v="7"/>
    <n v="0.99"/>
  </r>
  <r>
    <n v="238"/>
    <x v="204"/>
    <x v="7"/>
    <n v="1.98"/>
  </r>
  <r>
    <n v="239"/>
    <x v="204"/>
    <x v="8"/>
    <n v="1.98"/>
  </r>
  <r>
    <n v="240"/>
    <x v="205"/>
    <x v="9"/>
    <n v="3.96"/>
  </r>
  <r>
    <n v="241"/>
    <x v="206"/>
    <x v="0"/>
    <n v="5.94"/>
  </r>
  <r>
    <n v="242"/>
    <x v="207"/>
    <x v="2"/>
    <n v="8.91"/>
  </r>
  <r>
    <n v="243"/>
    <x v="208"/>
    <x v="4"/>
    <n v="13.86"/>
  </r>
  <r>
    <n v="244"/>
    <x v="209"/>
    <x v="3"/>
    <n v="0.99"/>
  </r>
  <r>
    <n v="245"/>
    <x v="210"/>
    <x v="3"/>
    <n v="1.98"/>
  </r>
  <r>
    <n v="246"/>
    <x v="210"/>
    <x v="12"/>
    <n v="1.98"/>
  </r>
  <r>
    <n v="247"/>
    <x v="211"/>
    <x v="0"/>
    <n v="3.96"/>
  </r>
  <r>
    <n v="248"/>
    <x v="212"/>
    <x v="5"/>
    <n v="5.94"/>
  </r>
  <r>
    <n v="249"/>
    <x v="213"/>
    <x v="6"/>
    <n v="8.91"/>
  </r>
  <r>
    <n v="250"/>
    <x v="214"/>
    <x v="8"/>
    <n v="13.86"/>
  </r>
  <r>
    <n v="251"/>
    <x v="215"/>
    <x v="11"/>
    <n v="0.99"/>
  </r>
  <r>
    <n v="252"/>
    <x v="216"/>
    <x v="11"/>
    <n v="1.98"/>
  </r>
  <r>
    <n v="253"/>
    <x v="216"/>
    <x v="11"/>
    <n v="1.98"/>
  </r>
  <r>
    <n v="254"/>
    <x v="217"/>
    <x v="3"/>
    <n v="3.96"/>
  </r>
  <r>
    <n v="255"/>
    <x v="218"/>
    <x v="4"/>
    <n v="5.94"/>
  </r>
  <r>
    <n v="256"/>
    <x v="219"/>
    <x v="4"/>
    <n v="8.91"/>
  </r>
  <r>
    <n v="257"/>
    <x v="220"/>
    <x v="12"/>
    <n v="13.86"/>
  </r>
  <r>
    <n v="258"/>
    <x v="221"/>
    <x v="13"/>
    <n v="0.99"/>
  </r>
  <r>
    <n v="259"/>
    <x v="222"/>
    <x v="20"/>
    <n v="1.98"/>
  </r>
  <r>
    <n v="260"/>
    <x v="222"/>
    <x v="15"/>
    <n v="1.98"/>
  </r>
  <r>
    <n v="261"/>
    <x v="223"/>
    <x v="7"/>
    <n v="3.96"/>
  </r>
  <r>
    <n v="262"/>
    <x v="224"/>
    <x v="9"/>
    <n v="5.94"/>
  </r>
  <r>
    <n v="263"/>
    <x v="225"/>
    <x v="1"/>
    <n v="8.91"/>
  </r>
  <r>
    <n v="264"/>
    <x v="226"/>
    <x v="11"/>
    <n v="13.86"/>
  </r>
  <r>
    <n v="265"/>
    <x v="227"/>
    <x v="4"/>
    <n v="0.99"/>
  </r>
  <r>
    <n v="266"/>
    <x v="228"/>
    <x v="4"/>
    <n v="1.98"/>
  </r>
  <r>
    <n v="267"/>
    <x v="228"/>
    <x v="3"/>
    <n v="1.98"/>
  </r>
  <r>
    <n v="268"/>
    <x v="229"/>
    <x v="3"/>
    <n v="3.96"/>
  </r>
  <r>
    <n v="269"/>
    <x v="230"/>
    <x v="0"/>
    <n v="5.94"/>
  </r>
  <r>
    <n v="270"/>
    <x v="231"/>
    <x v="5"/>
    <n v="8.91"/>
  </r>
  <r>
    <n v="271"/>
    <x v="232"/>
    <x v="15"/>
    <n v="13.86"/>
  </r>
  <r>
    <n v="272"/>
    <x v="233"/>
    <x v="16"/>
    <n v="0.99"/>
  </r>
  <r>
    <n v="273"/>
    <x v="234"/>
    <x v="21"/>
    <n v="1.98"/>
  </r>
  <r>
    <n v="274"/>
    <x v="234"/>
    <x v="18"/>
    <n v="1.98"/>
  </r>
  <r>
    <n v="275"/>
    <x v="235"/>
    <x v="11"/>
    <n v="3.96"/>
  </r>
  <r>
    <n v="276"/>
    <x v="236"/>
    <x v="3"/>
    <n v="5.94"/>
  </r>
  <r>
    <n v="277"/>
    <x v="237"/>
    <x v="4"/>
    <n v="8.91"/>
  </r>
  <r>
    <n v="278"/>
    <x v="238"/>
    <x v="3"/>
    <n v="13.86"/>
  </r>
  <r>
    <n v="279"/>
    <x v="239"/>
    <x v="17"/>
    <n v="0.99"/>
  </r>
  <r>
    <n v="280"/>
    <x v="240"/>
    <x v="22"/>
    <n v="1.98"/>
  </r>
  <r>
    <n v="281"/>
    <x v="240"/>
    <x v="19"/>
    <n v="1.98"/>
  </r>
  <r>
    <n v="282"/>
    <x v="241"/>
    <x v="20"/>
    <n v="3.96"/>
  </r>
  <r>
    <n v="283"/>
    <x v="242"/>
    <x v="7"/>
    <n v="5.94"/>
  </r>
  <r>
    <n v="284"/>
    <x v="243"/>
    <x v="10"/>
    <n v="8.91"/>
  </r>
  <r>
    <n v="285"/>
    <x v="244"/>
    <x v="18"/>
    <n v="13.86"/>
  </r>
  <r>
    <n v="286"/>
    <x v="245"/>
    <x v="4"/>
    <n v="0.99"/>
  </r>
  <r>
    <n v="287"/>
    <x v="246"/>
    <x v="4"/>
    <n v="1.98"/>
  </r>
  <r>
    <n v="288"/>
    <x v="246"/>
    <x v="4"/>
    <n v="1.98"/>
  </r>
  <r>
    <n v="289"/>
    <x v="247"/>
    <x v="4"/>
    <n v="3.96"/>
  </r>
  <r>
    <n v="290"/>
    <x v="248"/>
    <x v="3"/>
    <n v="5.94"/>
  </r>
  <r>
    <n v="291"/>
    <x v="249"/>
    <x v="0"/>
    <n v="8.91"/>
  </r>
  <r>
    <n v="292"/>
    <x v="250"/>
    <x v="19"/>
    <n v="13.86"/>
  </r>
  <r>
    <n v="293"/>
    <x v="251"/>
    <x v="0"/>
    <n v="0.99"/>
  </r>
  <r>
    <n v="294"/>
    <x v="252"/>
    <x v="3"/>
    <n v="1.98"/>
  </r>
  <r>
    <n v="295"/>
    <x v="252"/>
    <x v="16"/>
    <n v="1.98"/>
  </r>
  <r>
    <n v="296"/>
    <x v="253"/>
    <x v="21"/>
    <n v="3.96"/>
  </r>
  <r>
    <n v="297"/>
    <x v="254"/>
    <x v="11"/>
    <n v="5.94"/>
  </r>
  <r>
    <n v="298"/>
    <x v="255"/>
    <x v="4"/>
    <n v="10.91"/>
  </r>
  <r>
    <n v="299"/>
    <x v="256"/>
    <x v="4"/>
    <n v="23.86"/>
  </r>
  <r>
    <n v="300"/>
    <x v="257"/>
    <x v="5"/>
    <n v="0.99"/>
  </r>
  <r>
    <n v="301"/>
    <x v="258"/>
    <x v="5"/>
    <n v="1.98"/>
  </r>
  <r>
    <n v="302"/>
    <x v="258"/>
    <x v="5"/>
    <n v="1.98"/>
  </r>
  <r>
    <n v="303"/>
    <x v="259"/>
    <x v="22"/>
    <n v="3.96"/>
  </r>
  <r>
    <n v="304"/>
    <x v="260"/>
    <x v="20"/>
    <n v="5.94"/>
  </r>
  <r>
    <n v="305"/>
    <x v="261"/>
    <x v="8"/>
    <n v="8.91"/>
  </r>
  <r>
    <n v="306"/>
    <x v="262"/>
    <x v="16"/>
    <n v="16.86"/>
  </r>
  <r>
    <n v="307"/>
    <x v="263"/>
    <x v="4"/>
    <n v="1.99"/>
  </r>
  <r>
    <n v="308"/>
    <x v="264"/>
    <x v="4"/>
    <n v="3.98"/>
  </r>
  <r>
    <n v="309"/>
    <x v="264"/>
    <x v="4"/>
    <n v="3.98"/>
  </r>
  <r>
    <n v="310"/>
    <x v="265"/>
    <x v="4"/>
    <n v="7.96"/>
  </r>
  <r>
    <n v="311"/>
    <x v="266"/>
    <x v="4"/>
    <n v="11.94"/>
  </r>
  <r>
    <n v="312"/>
    <x v="267"/>
    <x v="12"/>
    <n v="10.91"/>
  </r>
  <r>
    <n v="313"/>
    <x v="268"/>
    <x v="5"/>
    <n v="16.86"/>
  </r>
  <r>
    <n v="314"/>
    <x v="269"/>
    <x v="9"/>
    <n v="0.99"/>
  </r>
  <r>
    <n v="315"/>
    <x v="270"/>
    <x v="10"/>
    <n v="1.98"/>
  </r>
  <r>
    <n v="316"/>
    <x v="270"/>
    <x v="11"/>
    <n v="1.98"/>
  </r>
  <r>
    <n v="317"/>
    <x v="271"/>
    <x v="3"/>
    <n v="3.96"/>
  </r>
  <r>
    <n v="318"/>
    <x v="272"/>
    <x v="21"/>
    <n v="5.94"/>
  </r>
  <r>
    <n v="319"/>
    <x v="273"/>
    <x v="11"/>
    <n v="8.91"/>
  </r>
  <r>
    <n v="320"/>
    <x v="274"/>
    <x v="4"/>
    <n v="13.86"/>
  </r>
  <r>
    <n v="321"/>
    <x v="275"/>
    <x v="0"/>
    <n v="0.99"/>
  </r>
  <r>
    <n v="322"/>
    <x v="276"/>
    <x v="0"/>
    <n v="1.98"/>
  </r>
  <r>
    <n v="323"/>
    <x v="276"/>
    <x v="5"/>
    <n v="1.98"/>
  </r>
  <r>
    <n v="324"/>
    <x v="277"/>
    <x v="5"/>
    <n v="3.96"/>
  </r>
  <r>
    <n v="325"/>
    <x v="278"/>
    <x v="22"/>
    <n v="5.94"/>
  </r>
  <r>
    <n v="326"/>
    <x v="279"/>
    <x v="15"/>
    <n v="8.91"/>
  </r>
  <r>
    <n v="327"/>
    <x v="280"/>
    <x v="11"/>
    <n v="13.86"/>
  </r>
  <r>
    <n v="328"/>
    <x v="281"/>
    <x v="3"/>
    <n v="0.99"/>
  </r>
  <r>
    <n v="329"/>
    <x v="282"/>
    <x v="4"/>
    <n v="1.98"/>
  </r>
  <r>
    <n v="330"/>
    <x v="282"/>
    <x v="4"/>
    <n v="1.98"/>
  </r>
  <r>
    <n v="331"/>
    <x v="283"/>
    <x v="4"/>
    <n v="3.96"/>
  </r>
  <r>
    <n v="332"/>
    <x v="284"/>
    <x v="4"/>
    <n v="5.94"/>
  </r>
  <r>
    <n v="333"/>
    <x v="285"/>
    <x v="3"/>
    <n v="8.91"/>
  </r>
  <r>
    <n v="334"/>
    <x v="286"/>
    <x v="5"/>
    <n v="13.86"/>
  </r>
  <r>
    <n v="335"/>
    <x v="287"/>
    <x v="7"/>
    <n v="0.99"/>
  </r>
  <r>
    <n v="336"/>
    <x v="288"/>
    <x v="7"/>
    <n v="1.98"/>
  </r>
  <r>
    <n v="337"/>
    <x v="288"/>
    <x v="23"/>
    <n v="1.98"/>
  </r>
  <r>
    <n v="338"/>
    <x v="289"/>
    <x v="10"/>
    <n v="3.96"/>
  </r>
  <r>
    <n v="339"/>
    <x v="290"/>
    <x v="3"/>
    <n v="5.94"/>
  </r>
  <r>
    <n v="340"/>
    <x v="291"/>
    <x v="18"/>
    <n v="8.91"/>
  </r>
  <r>
    <n v="341"/>
    <x v="292"/>
    <x v="4"/>
    <n v="13.86"/>
  </r>
  <r>
    <n v="342"/>
    <x v="293"/>
    <x v="3"/>
    <n v="0.99"/>
  </r>
  <r>
    <n v="343"/>
    <x v="294"/>
    <x v="3"/>
    <n v="1.98"/>
  </r>
  <r>
    <n v="344"/>
    <x v="294"/>
    <x v="12"/>
    <n v="1.98"/>
  </r>
  <r>
    <n v="345"/>
    <x v="295"/>
    <x v="0"/>
    <n v="3.96"/>
  </r>
  <r>
    <n v="346"/>
    <x v="296"/>
    <x v="5"/>
    <n v="5.94"/>
  </r>
  <r>
    <n v="347"/>
    <x v="297"/>
    <x v="19"/>
    <n v="8.91"/>
  </r>
  <r>
    <n v="348"/>
    <x v="298"/>
    <x v="23"/>
    <n v="13.86"/>
  </r>
  <r>
    <n v="349"/>
    <x v="299"/>
    <x v="11"/>
    <n v="0.99"/>
  </r>
  <r>
    <n v="350"/>
    <x v="300"/>
    <x v="11"/>
    <n v="1.98"/>
  </r>
  <r>
    <n v="351"/>
    <x v="300"/>
    <x v="3"/>
    <n v="1.98"/>
  </r>
  <r>
    <n v="352"/>
    <x v="301"/>
    <x v="4"/>
    <n v="3.96"/>
  </r>
  <r>
    <n v="353"/>
    <x v="302"/>
    <x v="4"/>
    <n v="5.94"/>
  </r>
  <r>
    <n v="354"/>
    <x v="303"/>
    <x v="4"/>
    <n v="8.91"/>
  </r>
  <r>
    <n v="355"/>
    <x v="304"/>
    <x v="12"/>
    <n v="13.86"/>
  </r>
  <r>
    <n v="356"/>
    <x v="305"/>
    <x v="20"/>
    <n v="0.99"/>
  </r>
  <r>
    <n v="357"/>
    <x v="306"/>
    <x v="14"/>
    <n v="1.98"/>
  </r>
  <r>
    <n v="358"/>
    <x v="306"/>
    <x v="7"/>
    <n v="1.98"/>
  </r>
  <r>
    <n v="359"/>
    <x v="307"/>
    <x v="7"/>
    <n v="3.96"/>
  </r>
  <r>
    <n v="360"/>
    <x v="308"/>
    <x v="10"/>
    <n v="5.94"/>
  </r>
  <r>
    <n v="361"/>
    <x v="309"/>
    <x v="16"/>
    <n v="8.91"/>
  </r>
  <r>
    <n v="362"/>
    <x v="310"/>
    <x v="3"/>
    <n v="13.86"/>
  </r>
  <r>
    <n v="363"/>
    <x v="311"/>
    <x v="4"/>
    <n v="0.99"/>
  </r>
  <r>
    <n v="364"/>
    <x v="312"/>
    <x v="3"/>
    <n v="1.98"/>
  </r>
  <r>
    <n v="365"/>
    <x v="312"/>
    <x v="3"/>
    <n v="1.98"/>
  </r>
  <r>
    <n v="366"/>
    <x v="313"/>
    <x v="3"/>
    <n v="3.96"/>
  </r>
  <r>
    <n v="367"/>
    <x v="314"/>
    <x v="0"/>
    <n v="5.94"/>
  </r>
  <r>
    <n v="368"/>
    <x v="315"/>
    <x v="5"/>
    <n v="8.91"/>
  </r>
  <r>
    <n v="369"/>
    <x v="316"/>
    <x v="7"/>
    <n v="13.86"/>
  </r>
  <r>
    <n v="370"/>
    <x v="317"/>
    <x v="21"/>
    <n v="0.99"/>
  </r>
  <r>
    <n v="371"/>
    <x v="318"/>
    <x v="2"/>
    <n v="1.98"/>
  </r>
  <r>
    <n v="372"/>
    <x v="318"/>
    <x v="11"/>
    <n v="1.98"/>
  </r>
  <r>
    <n v="373"/>
    <x v="319"/>
    <x v="11"/>
    <n v="3.96"/>
  </r>
  <r>
    <n v="374"/>
    <x v="320"/>
    <x v="4"/>
    <n v="5.94"/>
  </r>
  <r>
    <n v="375"/>
    <x v="321"/>
    <x v="4"/>
    <n v="8.91"/>
  </r>
  <r>
    <n v="376"/>
    <x v="322"/>
    <x v="3"/>
    <n v="13.86"/>
  </r>
  <r>
    <n v="377"/>
    <x v="323"/>
    <x v="22"/>
    <n v="0.99"/>
  </r>
  <r>
    <n v="378"/>
    <x v="324"/>
    <x v="6"/>
    <n v="1.98"/>
  </r>
  <r>
    <n v="379"/>
    <x v="324"/>
    <x v="13"/>
    <n v="1.98"/>
  </r>
  <r>
    <n v="380"/>
    <x v="325"/>
    <x v="14"/>
    <n v="3.96"/>
  </r>
  <r>
    <n v="381"/>
    <x v="326"/>
    <x v="7"/>
    <n v="5.94"/>
  </r>
  <r>
    <n v="382"/>
    <x v="327"/>
    <x v="11"/>
    <n v="8.91"/>
  </r>
  <r>
    <n v="383"/>
    <x v="328"/>
    <x v="11"/>
    <n v="13.86"/>
  </r>
  <r>
    <n v="384"/>
    <x v="329"/>
    <x v="4"/>
    <n v="0.99"/>
  </r>
  <r>
    <n v="385"/>
    <x v="330"/>
    <x v="4"/>
    <n v="1.98"/>
  </r>
  <r>
    <n v="386"/>
    <x v="330"/>
    <x v="4"/>
    <n v="1.98"/>
  </r>
  <r>
    <n v="387"/>
    <x v="331"/>
    <x v="3"/>
    <n v="3.96"/>
  </r>
  <r>
    <n v="388"/>
    <x v="332"/>
    <x v="3"/>
    <n v="5.94"/>
  </r>
  <r>
    <n v="389"/>
    <x v="333"/>
    <x v="5"/>
    <n v="8.91"/>
  </r>
  <r>
    <n v="390"/>
    <x v="334"/>
    <x v="13"/>
    <n v="13.86"/>
  </r>
  <r>
    <n v="391"/>
    <x v="335"/>
    <x v="3"/>
    <n v="0.99"/>
  </r>
  <r>
    <n v="392"/>
    <x v="336"/>
    <x v="1"/>
    <n v="1.98"/>
  </r>
  <r>
    <n v="393"/>
    <x v="336"/>
    <x v="16"/>
    <n v="1.98"/>
  </r>
  <r>
    <n v="394"/>
    <x v="337"/>
    <x v="2"/>
    <n v="3.96"/>
  </r>
  <r>
    <n v="395"/>
    <x v="338"/>
    <x v="11"/>
    <n v="5.94"/>
  </r>
  <r>
    <n v="396"/>
    <x v="339"/>
    <x v="4"/>
    <n v="8.91"/>
  </r>
  <r>
    <n v="397"/>
    <x v="340"/>
    <x v="4"/>
    <n v="13.86"/>
  </r>
  <r>
    <n v="398"/>
    <x v="341"/>
    <x v="5"/>
    <n v="0.99"/>
  </r>
  <r>
    <n v="399"/>
    <x v="342"/>
    <x v="5"/>
    <n v="1.98"/>
  </r>
  <r>
    <n v="400"/>
    <x v="342"/>
    <x v="17"/>
    <n v="1.98"/>
  </r>
  <r>
    <n v="401"/>
    <x v="343"/>
    <x v="6"/>
    <n v="3.96"/>
  </r>
  <r>
    <n v="402"/>
    <x v="344"/>
    <x v="14"/>
    <n v="5.94"/>
  </r>
  <r>
    <n v="403"/>
    <x v="345"/>
    <x v="23"/>
    <n v="8.91"/>
  </r>
  <r>
    <n v="404"/>
    <x v="346"/>
    <x v="16"/>
    <n v="25.86"/>
  </r>
  <r>
    <n v="405"/>
    <x v="347"/>
    <x v="4"/>
    <n v="0.99"/>
  </r>
  <r>
    <n v="406"/>
    <x v="348"/>
    <x v="4"/>
    <n v="1.98"/>
  </r>
  <r>
    <n v="407"/>
    <x v="348"/>
    <x v="4"/>
    <n v="1.98"/>
  </r>
  <r>
    <n v="408"/>
    <x v="349"/>
    <x v="4"/>
    <n v="3.96"/>
  </r>
  <r>
    <n v="409"/>
    <x v="350"/>
    <x v="3"/>
    <n v="5.94"/>
  </r>
  <r>
    <n v="410"/>
    <x v="351"/>
    <x v="12"/>
    <n v="8.91"/>
  </r>
  <r>
    <n v="411"/>
    <x v="352"/>
    <x v="17"/>
    <n v="13.86"/>
  </r>
  <r>
    <n v="412"/>
    <x v="353"/>
    <x v="10"/>
    <n v="1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88F95-2264-4016-B9B5-0FDC9A2B001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axis="axisRow" showAll="0" sortType="descending">
      <items count="11">
        <item x="3"/>
        <item x="1"/>
        <item x="9"/>
        <item x="6"/>
        <item x="2"/>
        <item x="4"/>
        <item x="8"/>
        <item x="7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0" showAll="0"/>
  </pivotFields>
  <rowFields count="1">
    <field x="0"/>
  </rowFields>
  <rowItems count="11">
    <i>
      <x v="9"/>
    </i>
    <i>
      <x v="1"/>
    </i>
    <i>
      <x v="4"/>
    </i>
    <i>
      <x/>
    </i>
    <i>
      <x v="5"/>
    </i>
    <i>
      <x v="8"/>
    </i>
    <i>
      <x v="3"/>
    </i>
    <i>
      <x v="7"/>
    </i>
    <i>
      <x v="6"/>
    </i>
    <i>
      <x v="2"/>
    </i>
    <i t="grand">
      <x/>
    </i>
  </rowItems>
  <colItems count="1">
    <i/>
  </colItems>
  <dataFields count="1">
    <dataField name="Somme de chiffre_affair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20EBD-44D0-4AF7-A217-630886836F3F}" name="Tableau croisé dynamique1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7">
    <pivotField showAll="0"/>
    <pivotField axis="axisRow" numFmtId="22" showAll="0">
      <items count="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showAll="0" sortType="descending">
      <items count="25">
        <item x="23"/>
        <item x="8"/>
        <item x="21"/>
        <item x="2"/>
        <item x="11"/>
        <item x="3"/>
        <item x="9"/>
        <item x="16"/>
        <item x="18"/>
        <item x="17"/>
        <item x="5"/>
        <item x="0"/>
        <item x="22"/>
        <item x="10"/>
        <item x="6"/>
        <item x="19"/>
        <item x="13"/>
        <item x="1"/>
        <item x="20"/>
        <item x="12"/>
        <item x="14"/>
        <item x="1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6"/>
    <field x="5"/>
    <field x="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Total" fld="3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375A0-5E00-4B0C-924F-A6F1DC567911}" name="Tableau croisé dynamique3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3:C28" firstHeaderRow="0" firstDataRow="1" firstDataCol="1"/>
  <pivotFields count="7">
    <pivotField showAll="0"/>
    <pivotField dataField="1" numFmtId="22" showAll="0">
      <items count="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axis="axisRow" showAll="0" sortType="descending">
      <items count="25">
        <item x="23"/>
        <item x="8"/>
        <item x="21"/>
        <item x="2"/>
        <item x="11"/>
        <item x="3"/>
        <item x="9"/>
        <item x="16"/>
        <item x="18"/>
        <item x="17"/>
        <item x="5"/>
        <item x="0"/>
        <item x="22"/>
        <item x="10"/>
        <item x="6"/>
        <item x="19"/>
        <item x="13"/>
        <item x="1"/>
        <item x="20"/>
        <item x="12"/>
        <item x="14"/>
        <item x="1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25">
    <i>
      <x v="23"/>
    </i>
    <i>
      <x v="5"/>
    </i>
    <i>
      <x v="10"/>
    </i>
    <i>
      <x v="4"/>
    </i>
    <i>
      <x v="11"/>
    </i>
    <i>
      <x v="22"/>
    </i>
    <i>
      <x v="7"/>
    </i>
    <i>
      <x v="19"/>
    </i>
    <i>
      <x v="13"/>
    </i>
    <i>
      <x v="6"/>
    </i>
    <i>
      <x v="12"/>
    </i>
    <i>
      <x v="14"/>
    </i>
    <i>
      <x v="2"/>
    </i>
    <i>
      <x v="9"/>
    </i>
    <i>
      <x v="16"/>
    </i>
    <i>
      <x v="17"/>
    </i>
    <i>
      <x v="21"/>
    </i>
    <i>
      <x/>
    </i>
    <i>
      <x v="1"/>
    </i>
    <i>
      <x v="8"/>
    </i>
    <i>
      <x v="18"/>
    </i>
    <i>
      <x v="15"/>
    </i>
    <i>
      <x v="20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tal" fld="3" baseField="0" baseItem="0"/>
    <dataField name="Nombre de Invoice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D088B-3638-4B27-911A-097F5A03B0FC}" name="Tableau croisé dynamique4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28" firstHeaderRow="1" firstDataRow="1" firstDataCol="1"/>
  <pivotFields count="7">
    <pivotField showAll="0"/>
    <pivotField numFmtId="22" showAll="0">
      <items count="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axis="axisRow" showAll="0" sortType="descending">
      <items count="25">
        <item x="23"/>
        <item x="8"/>
        <item x="21"/>
        <item x="2"/>
        <item x="11"/>
        <item x="3"/>
        <item x="9"/>
        <item x="16"/>
        <item x="18"/>
        <item x="17"/>
        <item x="5"/>
        <item x="0"/>
        <item x="22"/>
        <item x="10"/>
        <item x="6"/>
        <item x="19"/>
        <item x="13"/>
        <item x="1"/>
        <item x="20"/>
        <item x="12"/>
        <item x="14"/>
        <item x="1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25">
    <i>
      <x v="23"/>
    </i>
    <i>
      <x v="5"/>
    </i>
    <i>
      <x v="10"/>
    </i>
    <i>
      <x v="4"/>
    </i>
    <i>
      <x v="11"/>
    </i>
    <i>
      <x v="22"/>
    </i>
    <i>
      <x v="7"/>
    </i>
    <i>
      <x v="19"/>
    </i>
    <i>
      <x v="13"/>
    </i>
    <i>
      <x v="6"/>
    </i>
    <i>
      <x v="12"/>
    </i>
    <i>
      <x v="14"/>
    </i>
    <i>
      <x v="2"/>
    </i>
    <i>
      <x v="9"/>
    </i>
    <i>
      <x v="16"/>
    </i>
    <i>
      <x v="17"/>
    </i>
    <i>
      <x v="21"/>
    </i>
    <i>
      <x/>
    </i>
    <i>
      <x v="1"/>
    </i>
    <i>
      <x v="8"/>
    </i>
    <i>
      <x v="18"/>
    </i>
    <i>
      <x v="15"/>
    </i>
    <i>
      <x v="20"/>
    </i>
    <i>
      <x v="3"/>
    </i>
    <i t="grand">
      <x/>
    </i>
  </rowItems>
  <colItems count="1">
    <i/>
  </colItems>
  <dataFields count="1">
    <dataField name="Somme de Total" fld="3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BCE0741E-FAFC-47E4-8ED5-2DA846CEC79E}" autoFormatId="16" applyNumberFormats="0" applyBorderFormats="0" applyFontFormats="0" applyPatternFormats="0" applyAlignmentFormats="0" applyWidthHeightFormats="0">
  <queryTableRefresh nextId="5">
    <queryTableFields count="4">
      <queryTableField id="1" name="InvoiceId" tableColumnId="1"/>
      <queryTableField id="2" name="InvoiceDate" tableColumnId="2"/>
      <queryTableField id="3" name="BillingCountry" tableColumnId="3"/>
      <queryTableField id="4" name="Tota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D452168C-4732-4A5F-8B67-F626832E300E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BillingCountry" tableColumnId="1"/>
      <queryTableField id="2" name="chiffre_affaires" tableColumnId="2"/>
      <queryTableField id="3" dataBound="0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illingCountry" xr10:uid="{E6352540-836E-473F-8156-CCAED44E1873}" sourceName="BillingCountry">
  <pivotTables>
    <pivotTable tabId="5" name="Tableau croisé dynamique1"/>
    <pivotTable tabId="6" name="Tableau croisé dynamique3"/>
    <pivotTable tabId="8" name="Tableau croisé dynamique4"/>
  </pivotTables>
  <data>
    <tabular pivotCacheId="1205452348">
      <items count="24">
        <i x="23" s="1"/>
        <i x="8" s="1"/>
        <i x="21" s="1"/>
        <i x="2" s="1"/>
        <i x="11" s="1"/>
        <i x="3" s="1"/>
        <i x="9" s="1"/>
        <i x="16" s="1"/>
        <i x="18" s="1"/>
        <i x="17" s="1"/>
        <i x="5" s="1"/>
        <i x="0" s="1"/>
        <i x="22" s="1"/>
        <i x="10" s="1"/>
        <i x="6" s="1"/>
        <i x="19" s="1"/>
        <i x="13" s="1"/>
        <i x="1" s="1"/>
        <i x="20" s="1"/>
        <i x="12" s="1"/>
        <i x="14" s="1"/>
        <i x="15" s="1"/>
        <i x="7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er par pays" xr10:uid="{7FC9F040-5CBD-499F-ACC6-63149AFDDDEA}" cache="Segment_BillingCountry" caption="Filtrer par pays" columnCount="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2674E-BFCD-4CE2-856A-EA85BCE989CB}" name="ventes_detaillees_chinook" displayName="ventes_detaillees_chinook" ref="A1:D413" tableType="queryTable" totalsRowShown="0">
  <autoFilter ref="A1:D413" xr:uid="{E382674E-BFCD-4CE2-856A-EA85BCE989CB}"/>
  <tableColumns count="4">
    <tableColumn id="1" xr3:uid="{4CD42CCA-D725-4F52-B11B-6A8060B0898D}" uniqueName="1" name="InvoiceId" queryTableFieldId="1"/>
    <tableColumn id="2" xr3:uid="{87C21121-5490-4A99-AC47-ACCF95281D17}" uniqueName="2" name="InvoiceDate" queryTableFieldId="2" dataDxfId="25"/>
    <tableColumn id="3" xr3:uid="{A98F4948-3991-4EB5-80F2-240F21FF4E16}" uniqueName="3" name="BillingCountry" queryTableFieldId="3" dataDxfId="24"/>
    <tableColumn id="4" xr3:uid="{6FC5E33F-6C45-4E04-B949-F1D386977CD1}" uniqueName="4" name="Tota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81620-DDE0-4FFA-ABF8-CF75F0FE027E}" name="ventes_par_pays" displayName="ventes_par_pays" ref="A1:C11" tableType="queryTable" totalsRowShown="0">
  <autoFilter ref="A1:C11" xr:uid="{A3081620-DDE0-4FFA-ABF8-CF75F0FE027E}"/>
  <tableColumns count="3">
    <tableColumn id="1" xr3:uid="{A7F21152-2882-4FDB-B9AE-63720EEA8FBE}" uniqueName="1" name="BillingCountry" queryTableFieldId="1" dataDxfId="27"/>
    <tableColumn id="2" xr3:uid="{A7F2AEC7-1887-4AB2-843A-0194C86BD808}" uniqueName="2" name="chiffre_affaires" queryTableFieldId="2"/>
    <tableColumn id="3" xr3:uid="{96AD49E5-05C3-495D-ADFA-F9B5FA288185}" uniqueName="3" name="Part du chiffre d'affaires (%)" queryTableFieldId="3" dataDxfId="26" dataCellStyle="Pourcentage">
      <calculatedColumnFormula>B2/$D$2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E264-7D83-4BC0-9607-A1E081F0B588}">
  <dimension ref="A3:B14"/>
  <sheetViews>
    <sheetView workbookViewId="0">
      <selection activeCell="F11" sqref="F11"/>
    </sheetView>
  </sheetViews>
  <sheetFormatPr baseColWidth="10" defaultRowHeight="14.4" x14ac:dyDescent="0.3"/>
  <cols>
    <col min="1" max="1" width="19.5546875" bestFit="1" customWidth="1"/>
    <col min="2" max="2" width="22.77734375" bestFit="1" customWidth="1"/>
  </cols>
  <sheetData>
    <row r="3" spans="1:2" x14ac:dyDescent="0.3">
      <c r="A3" s="5" t="s">
        <v>20</v>
      </c>
      <c r="B3" t="s">
        <v>22</v>
      </c>
    </row>
    <row r="4" spans="1:2" x14ac:dyDescent="0.3">
      <c r="A4" s="6" t="s">
        <v>2</v>
      </c>
      <c r="B4">
        <v>523.05999999999995</v>
      </c>
    </row>
    <row r="5" spans="1:2" x14ac:dyDescent="0.3">
      <c r="A5" s="6" t="s">
        <v>3</v>
      </c>
      <c r="B5">
        <v>303.95999999999998</v>
      </c>
    </row>
    <row r="6" spans="1:2" x14ac:dyDescent="0.3">
      <c r="A6" s="6" t="s">
        <v>4</v>
      </c>
      <c r="B6">
        <v>195.1</v>
      </c>
    </row>
    <row r="7" spans="1:2" x14ac:dyDescent="0.3">
      <c r="A7" s="6" t="s">
        <v>5</v>
      </c>
      <c r="B7">
        <v>190.1</v>
      </c>
    </row>
    <row r="8" spans="1:2" x14ac:dyDescent="0.3">
      <c r="A8" s="6" t="s">
        <v>6</v>
      </c>
      <c r="B8">
        <v>156.47999999999999</v>
      </c>
    </row>
    <row r="9" spans="1:2" x14ac:dyDescent="0.3">
      <c r="A9" s="6" t="s">
        <v>7</v>
      </c>
      <c r="B9">
        <v>112.86</v>
      </c>
    </row>
    <row r="10" spans="1:2" x14ac:dyDescent="0.3">
      <c r="A10" s="6" t="s">
        <v>8</v>
      </c>
      <c r="B10">
        <v>90.24</v>
      </c>
    </row>
    <row r="11" spans="1:2" x14ac:dyDescent="0.3">
      <c r="A11" s="6" t="s">
        <v>9</v>
      </c>
      <c r="B11">
        <v>77.239999999999995</v>
      </c>
    </row>
    <row r="12" spans="1:2" x14ac:dyDescent="0.3">
      <c r="A12" s="6" t="s">
        <v>10</v>
      </c>
      <c r="B12">
        <v>75.260000000000005</v>
      </c>
    </row>
    <row r="13" spans="1:2" x14ac:dyDescent="0.3">
      <c r="A13" s="6" t="s">
        <v>11</v>
      </c>
      <c r="B13">
        <v>46.62</v>
      </c>
    </row>
    <row r="14" spans="1:2" x14ac:dyDescent="0.3">
      <c r="A14" s="6" t="s">
        <v>21</v>
      </c>
      <c r="B14">
        <v>1770.9199999999998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4DA1-BA2E-4615-BD19-5F29AEC90C0F}">
  <dimension ref="A3:F9"/>
  <sheetViews>
    <sheetView workbookViewId="0">
      <selection activeCell="A4" sqref="A4"/>
    </sheetView>
  </sheetViews>
  <sheetFormatPr baseColWidth="10" defaultRowHeight="14.4" x14ac:dyDescent="0.3"/>
  <cols>
    <col min="1" max="1" width="19.5546875" bestFit="1" customWidth="1"/>
    <col min="2" max="2" width="14.33203125" bestFit="1" customWidth="1"/>
  </cols>
  <sheetData>
    <row r="3" spans="1:6" x14ac:dyDescent="0.3">
      <c r="A3" s="5" t="s">
        <v>20</v>
      </c>
      <c r="B3" t="s">
        <v>40</v>
      </c>
    </row>
    <row r="4" spans="1:6" x14ac:dyDescent="0.3">
      <c r="A4" s="6" t="s">
        <v>44</v>
      </c>
      <c r="B4" s="8">
        <v>449.46000000000032</v>
      </c>
      <c r="F4" s="2"/>
    </row>
    <row r="5" spans="1:6" x14ac:dyDescent="0.3">
      <c r="A5" s="6" t="s">
        <v>41</v>
      </c>
      <c r="B5" s="8">
        <v>481.45000000000033</v>
      </c>
      <c r="F5" s="2">
        <f>(B5-B4)/B4</f>
        <v>7.1174298046544709E-2</v>
      </c>
    </row>
    <row r="6" spans="1:6" x14ac:dyDescent="0.3">
      <c r="A6" s="6" t="s">
        <v>42</v>
      </c>
      <c r="B6" s="8">
        <v>469.58000000000033</v>
      </c>
      <c r="F6" s="2">
        <f t="shared" ref="F6:F9" si="0">(B6-B5)/B5</f>
        <v>-2.465468896043202E-2</v>
      </c>
    </row>
    <row r="7" spans="1:6" x14ac:dyDescent="0.3">
      <c r="A7" s="6" t="s">
        <v>45</v>
      </c>
      <c r="B7" s="8">
        <v>477.53000000000026</v>
      </c>
      <c r="F7" s="2">
        <f t="shared" si="0"/>
        <v>1.6930022573363273E-2</v>
      </c>
    </row>
    <row r="8" spans="1:6" x14ac:dyDescent="0.3">
      <c r="A8" s="6" t="s">
        <v>43</v>
      </c>
      <c r="B8" s="8">
        <v>450.58000000000027</v>
      </c>
      <c r="F8" s="2">
        <f t="shared" si="0"/>
        <v>-5.6436244843255864E-2</v>
      </c>
    </row>
    <row r="9" spans="1:6" x14ac:dyDescent="0.3">
      <c r="A9" s="6" t="s">
        <v>21</v>
      </c>
      <c r="B9" s="8">
        <v>2328.6000000000013</v>
      </c>
      <c r="F9" s="2"/>
    </row>
  </sheetData>
  <conditionalFormatting sqref="F5:F8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9073-6679-4539-99A2-916FA6EAF320}">
  <dimension ref="A3:C28"/>
  <sheetViews>
    <sheetView workbookViewId="0">
      <selection activeCell="A4" sqref="A4"/>
    </sheetView>
  </sheetViews>
  <sheetFormatPr baseColWidth="10" defaultRowHeight="14.4" x14ac:dyDescent="0.3"/>
  <cols>
    <col min="1" max="1" width="19.5546875" bestFit="1" customWidth="1"/>
    <col min="2" max="2" width="14.33203125" bestFit="1" customWidth="1"/>
    <col min="3" max="3" width="20.5546875" bestFit="1" customWidth="1"/>
  </cols>
  <sheetData>
    <row r="3" spans="1:3" x14ac:dyDescent="0.3">
      <c r="A3" s="5" t="s">
        <v>20</v>
      </c>
      <c r="B3" t="s">
        <v>40</v>
      </c>
      <c r="C3" t="s">
        <v>50</v>
      </c>
    </row>
    <row r="4" spans="1:3" x14ac:dyDescent="0.3">
      <c r="A4" s="6" t="s">
        <v>2</v>
      </c>
      <c r="B4" s="8">
        <v>523.06000000000029</v>
      </c>
      <c r="C4" s="8">
        <v>91</v>
      </c>
    </row>
    <row r="5" spans="1:3" x14ac:dyDescent="0.3">
      <c r="A5" s="6" t="s">
        <v>3</v>
      </c>
      <c r="B5" s="8">
        <v>303.95999999999992</v>
      </c>
      <c r="C5" s="8">
        <v>56</v>
      </c>
    </row>
    <row r="6" spans="1:3" x14ac:dyDescent="0.3">
      <c r="A6" s="6" t="s">
        <v>4</v>
      </c>
      <c r="B6" s="8">
        <v>195.09999999999994</v>
      </c>
      <c r="C6" s="8">
        <v>35</v>
      </c>
    </row>
    <row r="7" spans="1:3" x14ac:dyDescent="0.3">
      <c r="A7" s="6" t="s">
        <v>5</v>
      </c>
      <c r="B7" s="8">
        <v>190.09999999999997</v>
      </c>
      <c r="C7" s="8">
        <v>35</v>
      </c>
    </row>
    <row r="8" spans="1:3" x14ac:dyDescent="0.3">
      <c r="A8" s="6" t="s">
        <v>6</v>
      </c>
      <c r="B8" s="8">
        <v>156.47999999999999</v>
      </c>
      <c r="C8" s="8">
        <v>28</v>
      </c>
    </row>
    <row r="9" spans="1:3" x14ac:dyDescent="0.3">
      <c r="A9" s="6" t="s">
        <v>7</v>
      </c>
      <c r="B9" s="8">
        <v>112.85999999999999</v>
      </c>
      <c r="C9" s="8">
        <v>21</v>
      </c>
    </row>
    <row r="10" spans="1:3" x14ac:dyDescent="0.3">
      <c r="A10" s="6" t="s">
        <v>8</v>
      </c>
      <c r="B10" s="8">
        <v>90.240000000000009</v>
      </c>
      <c r="C10" s="8">
        <v>14</v>
      </c>
    </row>
    <row r="11" spans="1:3" x14ac:dyDescent="0.3">
      <c r="A11" s="6" t="s">
        <v>9</v>
      </c>
      <c r="B11" s="8">
        <v>77.239999999999981</v>
      </c>
      <c r="C11" s="8">
        <v>14</v>
      </c>
    </row>
    <row r="12" spans="1:3" x14ac:dyDescent="0.3">
      <c r="A12" s="6" t="s">
        <v>10</v>
      </c>
      <c r="B12" s="8">
        <v>75.259999999999991</v>
      </c>
      <c r="C12" s="8">
        <v>13</v>
      </c>
    </row>
    <row r="13" spans="1:3" x14ac:dyDescent="0.3">
      <c r="A13" s="6" t="s">
        <v>11</v>
      </c>
      <c r="B13" s="8">
        <v>46.62</v>
      </c>
      <c r="C13" s="8">
        <v>7</v>
      </c>
    </row>
    <row r="14" spans="1:3" x14ac:dyDescent="0.3">
      <c r="A14" s="6" t="s">
        <v>38</v>
      </c>
      <c r="B14" s="8">
        <v>45.62</v>
      </c>
      <c r="C14" s="8">
        <v>7</v>
      </c>
    </row>
    <row r="15" spans="1:3" x14ac:dyDescent="0.3">
      <c r="A15" s="6" t="s">
        <v>28</v>
      </c>
      <c r="B15" s="8">
        <v>45.62</v>
      </c>
      <c r="C15" s="8">
        <v>7</v>
      </c>
    </row>
    <row r="16" spans="1:3" x14ac:dyDescent="0.3">
      <c r="A16" s="6" t="s">
        <v>37</v>
      </c>
      <c r="B16" s="8">
        <v>42.62</v>
      </c>
      <c r="C16" s="8">
        <v>7</v>
      </c>
    </row>
    <row r="17" spans="1:3" x14ac:dyDescent="0.3">
      <c r="A17" s="6" t="s">
        <v>33</v>
      </c>
      <c r="B17" s="8">
        <v>41.620000000000005</v>
      </c>
      <c r="C17" s="8">
        <v>7</v>
      </c>
    </row>
    <row r="18" spans="1:3" x14ac:dyDescent="0.3">
      <c r="A18" s="6" t="s">
        <v>30</v>
      </c>
      <c r="B18" s="8">
        <v>40.619999999999997</v>
      </c>
      <c r="C18" s="8">
        <v>7</v>
      </c>
    </row>
    <row r="19" spans="1:3" x14ac:dyDescent="0.3">
      <c r="A19" s="6" t="s">
        <v>26</v>
      </c>
      <c r="B19" s="8">
        <v>39.619999999999997</v>
      </c>
      <c r="C19" s="8">
        <v>7</v>
      </c>
    </row>
    <row r="20" spans="1:3" x14ac:dyDescent="0.3">
      <c r="A20" s="6" t="s">
        <v>32</v>
      </c>
      <c r="B20" s="8">
        <v>38.620000000000005</v>
      </c>
      <c r="C20" s="8">
        <v>7</v>
      </c>
    </row>
    <row r="21" spans="1:3" x14ac:dyDescent="0.3">
      <c r="A21" s="6" t="s">
        <v>39</v>
      </c>
      <c r="B21" s="8">
        <v>37.620000000000005</v>
      </c>
      <c r="C21" s="8">
        <v>7</v>
      </c>
    </row>
    <row r="22" spans="1:3" x14ac:dyDescent="0.3">
      <c r="A22" s="6" t="s">
        <v>29</v>
      </c>
      <c r="B22" s="8">
        <v>37.620000000000005</v>
      </c>
      <c r="C22" s="8">
        <v>7</v>
      </c>
    </row>
    <row r="23" spans="1:3" x14ac:dyDescent="0.3">
      <c r="A23" s="6" t="s">
        <v>34</v>
      </c>
      <c r="B23" s="8">
        <v>37.620000000000005</v>
      </c>
      <c r="C23" s="8">
        <v>7</v>
      </c>
    </row>
    <row r="24" spans="1:3" x14ac:dyDescent="0.3">
      <c r="A24" s="6" t="s">
        <v>36</v>
      </c>
      <c r="B24" s="8">
        <v>37.620000000000005</v>
      </c>
      <c r="C24" s="8">
        <v>7</v>
      </c>
    </row>
    <row r="25" spans="1:3" x14ac:dyDescent="0.3">
      <c r="A25" s="6" t="s">
        <v>35</v>
      </c>
      <c r="B25" s="8">
        <v>37.620000000000005</v>
      </c>
      <c r="C25" s="8">
        <v>7</v>
      </c>
    </row>
    <row r="26" spans="1:3" x14ac:dyDescent="0.3">
      <c r="A26" s="6" t="s">
        <v>31</v>
      </c>
      <c r="B26" s="8">
        <v>37.619999999999997</v>
      </c>
      <c r="C26" s="8">
        <v>7</v>
      </c>
    </row>
    <row r="27" spans="1:3" x14ac:dyDescent="0.3">
      <c r="A27" s="6" t="s">
        <v>27</v>
      </c>
      <c r="B27" s="8">
        <v>37.619999999999997</v>
      </c>
      <c r="C27" s="8">
        <v>7</v>
      </c>
    </row>
    <row r="28" spans="1:3" x14ac:dyDescent="0.3">
      <c r="A28" s="6" t="s">
        <v>21</v>
      </c>
      <c r="B28" s="8">
        <v>2328.6000000000045</v>
      </c>
      <c r="C28" s="8">
        <v>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5776-BA5A-4156-AD01-7D1B6892D0EC}">
  <dimension ref="A3:B28"/>
  <sheetViews>
    <sheetView topLeftCell="B1" workbookViewId="0">
      <selection activeCell="A4" sqref="A4"/>
    </sheetView>
  </sheetViews>
  <sheetFormatPr baseColWidth="10" defaultRowHeight="14.4" x14ac:dyDescent="0.3"/>
  <cols>
    <col min="1" max="1" width="19.5546875" bestFit="1" customWidth="1"/>
    <col min="2" max="2" width="14.33203125" bestFit="1" customWidth="1"/>
  </cols>
  <sheetData>
    <row r="3" spans="1:2" x14ac:dyDescent="0.3">
      <c r="A3" s="5" t="s">
        <v>20</v>
      </c>
      <c r="B3" t="s">
        <v>40</v>
      </c>
    </row>
    <row r="4" spans="1:2" x14ac:dyDescent="0.3">
      <c r="A4" s="6" t="s">
        <v>2</v>
      </c>
      <c r="B4" s="8">
        <v>523.06000000000029</v>
      </c>
    </row>
    <row r="5" spans="1:2" x14ac:dyDescent="0.3">
      <c r="A5" s="6" t="s">
        <v>3</v>
      </c>
      <c r="B5" s="8">
        <v>303.95999999999992</v>
      </c>
    </row>
    <row r="6" spans="1:2" x14ac:dyDescent="0.3">
      <c r="A6" s="6" t="s">
        <v>4</v>
      </c>
      <c r="B6" s="8">
        <v>195.09999999999994</v>
      </c>
    </row>
    <row r="7" spans="1:2" x14ac:dyDescent="0.3">
      <c r="A7" s="6" t="s">
        <v>5</v>
      </c>
      <c r="B7" s="8">
        <v>190.09999999999997</v>
      </c>
    </row>
    <row r="8" spans="1:2" x14ac:dyDescent="0.3">
      <c r="A8" s="6" t="s">
        <v>6</v>
      </c>
      <c r="B8" s="8">
        <v>156.47999999999999</v>
      </c>
    </row>
    <row r="9" spans="1:2" x14ac:dyDescent="0.3">
      <c r="A9" s="6" t="s">
        <v>7</v>
      </c>
      <c r="B9" s="8">
        <v>112.85999999999999</v>
      </c>
    </row>
    <row r="10" spans="1:2" x14ac:dyDescent="0.3">
      <c r="A10" s="6" t="s">
        <v>8</v>
      </c>
      <c r="B10" s="8">
        <v>90.240000000000009</v>
      </c>
    </row>
    <row r="11" spans="1:2" x14ac:dyDescent="0.3">
      <c r="A11" s="6" t="s">
        <v>9</v>
      </c>
      <c r="B11" s="8">
        <v>77.239999999999981</v>
      </c>
    </row>
    <row r="12" spans="1:2" x14ac:dyDescent="0.3">
      <c r="A12" s="6" t="s">
        <v>10</v>
      </c>
      <c r="B12" s="8">
        <v>75.259999999999991</v>
      </c>
    </row>
    <row r="13" spans="1:2" x14ac:dyDescent="0.3">
      <c r="A13" s="6" t="s">
        <v>11</v>
      </c>
      <c r="B13" s="8">
        <v>46.62</v>
      </c>
    </row>
    <row r="14" spans="1:2" x14ac:dyDescent="0.3">
      <c r="A14" s="6" t="s">
        <v>38</v>
      </c>
      <c r="B14" s="8">
        <v>45.62</v>
      </c>
    </row>
    <row r="15" spans="1:2" x14ac:dyDescent="0.3">
      <c r="A15" s="6" t="s">
        <v>28</v>
      </c>
      <c r="B15" s="8">
        <v>45.62</v>
      </c>
    </row>
    <row r="16" spans="1:2" x14ac:dyDescent="0.3">
      <c r="A16" s="6" t="s">
        <v>37</v>
      </c>
      <c r="B16" s="8">
        <v>42.62</v>
      </c>
    </row>
    <row r="17" spans="1:2" x14ac:dyDescent="0.3">
      <c r="A17" s="6" t="s">
        <v>33</v>
      </c>
      <c r="B17" s="8">
        <v>41.620000000000005</v>
      </c>
    </row>
    <row r="18" spans="1:2" x14ac:dyDescent="0.3">
      <c r="A18" s="6" t="s">
        <v>30</v>
      </c>
      <c r="B18" s="8">
        <v>40.619999999999997</v>
      </c>
    </row>
    <row r="19" spans="1:2" x14ac:dyDescent="0.3">
      <c r="A19" s="6" t="s">
        <v>26</v>
      </c>
      <c r="B19" s="8">
        <v>39.619999999999997</v>
      </c>
    </row>
    <row r="20" spans="1:2" x14ac:dyDescent="0.3">
      <c r="A20" s="6" t="s">
        <v>32</v>
      </c>
      <c r="B20" s="8">
        <v>38.620000000000005</v>
      </c>
    </row>
    <row r="21" spans="1:2" x14ac:dyDescent="0.3">
      <c r="A21" s="6" t="s">
        <v>39</v>
      </c>
      <c r="B21" s="8">
        <v>37.620000000000005</v>
      </c>
    </row>
    <row r="22" spans="1:2" x14ac:dyDescent="0.3">
      <c r="A22" s="6" t="s">
        <v>29</v>
      </c>
      <c r="B22" s="8">
        <v>37.620000000000005</v>
      </c>
    </row>
    <row r="23" spans="1:2" x14ac:dyDescent="0.3">
      <c r="A23" s="6" t="s">
        <v>34</v>
      </c>
      <c r="B23" s="8">
        <v>37.620000000000005</v>
      </c>
    </row>
    <row r="24" spans="1:2" x14ac:dyDescent="0.3">
      <c r="A24" s="6" t="s">
        <v>36</v>
      </c>
      <c r="B24" s="8">
        <v>37.620000000000005</v>
      </c>
    </row>
    <row r="25" spans="1:2" x14ac:dyDescent="0.3">
      <c r="A25" s="6" t="s">
        <v>35</v>
      </c>
      <c r="B25" s="8">
        <v>37.620000000000005</v>
      </c>
    </row>
    <row r="26" spans="1:2" x14ac:dyDescent="0.3">
      <c r="A26" s="6" t="s">
        <v>31</v>
      </c>
      <c r="B26" s="8">
        <v>37.619999999999997</v>
      </c>
    </row>
    <row r="27" spans="1:2" x14ac:dyDescent="0.3">
      <c r="A27" s="6" t="s">
        <v>27</v>
      </c>
      <c r="B27" s="8">
        <v>37.619999999999997</v>
      </c>
    </row>
    <row r="28" spans="1:2" x14ac:dyDescent="0.3">
      <c r="A28" s="6" t="s">
        <v>21</v>
      </c>
      <c r="B28" s="8">
        <v>2328.5999999999995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55E2-1A05-43DA-BE6C-7C288F01E496}">
  <dimension ref="A1:D413"/>
  <sheetViews>
    <sheetView topLeftCell="A2" workbookViewId="0">
      <selection activeCell="A2" sqref="A2"/>
    </sheetView>
  </sheetViews>
  <sheetFormatPr baseColWidth="10" defaultRowHeight="14.4" x14ac:dyDescent="0.3"/>
  <cols>
    <col min="1" max="1" width="10.88671875" bestFit="1" customWidth="1"/>
    <col min="2" max="2" width="15.21875" bestFit="1" customWidth="1"/>
    <col min="3" max="3" width="14.88671875" bestFit="1" customWidth="1"/>
    <col min="4" max="4" width="7.33203125" bestFit="1" customWidth="1"/>
  </cols>
  <sheetData>
    <row r="1" spans="1:4" x14ac:dyDescent="0.3">
      <c r="A1" t="s">
        <v>23</v>
      </c>
      <c r="B1" t="s">
        <v>24</v>
      </c>
      <c r="C1" t="s">
        <v>0</v>
      </c>
      <c r="D1" t="s">
        <v>25</v>
      </c>
    </row>
    <row r="2" spans="1:4" x14ac:dyDescent="0.3">
      <c r="A2">
        <v>1</v>
      </c>
      <c r="B2" s="7">
        <v>44197</v>
      </c>
      <c r="C2" s="8" t="s">
        <v>6</v>
      </c>
      <c r="D2">
        <v>1.98</v>
      </c>
    </row>
    <row r="3" spans="1:4" x14ac:dyDescent="0.3">
      <c r="A3">
        <v>2</v>
      </c>
      <c r="B3" s="7">
        <v>44198</v>
      </c>
      <c r="C3" s="8" t="s">
        <v>26</v>
      </c>
      <c r="D3">
        <v>3.96</v>
      </c>
    </row>
    <row r="4" spans="1:4" x14ac:dyDescent="0.3">
      <c r="A4">
        <v>3</v>
      </c>
      <c r="B4" s="7">
        <v>44199</v>
      </c>
      <c r="C4" s="8" t="s">
        <v>27</v>
      </c>
      <c r="D4">
        <v>5.94</v>
      </c>
    </row>
    <row r="5" spans="1:4" x14ac:dyDescent="0.3">
      <c r="A5">
        <v>4</v>
      </c>
      <c r="B5" s="7">
        <v>44202</v>
      </c>
      <c r="C5" s="8" t="s">
        <v>3</v>
      </c>
      <c r="D5">
        <v>8.91</v>
      </c>
    </row>
    <row r="6" spans="1:4" x14ac:dyDescent="0.3">
      <c r="A6">
        <v>5</v>
      </c>
      <c r="B6" s="7">
        <v>44207</v>
      </c>
      <c r="C6" s="8" t="s">
        <v>2</v>
      </c>
      <c r="D6">
        <v>13.86</v>
      </c>
    </row>
    <row r="7" spans="1:4" x14ac:dyDescent="0.3">
      <c r="A7">
        <v>6</v>
      </c>
      <c r="B7" s="7">
        <v>44215</v>
      </c>
      <c r="C7" s="8" t="s">
        <v>6</v>
      </c>
      <c r="D7">
        <v>0.99</v>
      </c>
    </row>
    <row r="8" spans="1:4" x14ac:dyDescent="0.3">
      <c r="A8">
        <v>7</v>
      </c>
      <c r="B8" s="7">
        <v>44228</v>
      </c>
      <c r="C8" s="8" t="s">
        <v>6</v>
      </c>
      <c r="D8">
        <v>1.98</v>
      </c>
    </row>
    <row r="9" spans="1:4" x14ac:dyDescent="0.3">
      <c r="A9">
        <v>8</v>
      </c>
      <c r="B9" s="7">
        <v>44228</v>
      </c>
      <c r="C9" s="8" t="s">
        <v>4</v>
      </c>
      <c r="D9">
        <v>1.98</v>
      </c>
    </row>
    <row r="10" spans="1:4" x14ac:dyDescent="0.3">
      <c r="A10">
        <v>9</v>
      </c>
      <c r="B10" s="7">
        <v>44229</v>
      </c>
      <c r="C10" s="8" t="s">
        <v>4</v>
      </c>
      <c r="D10">
        <v>3.96</v>
      </c>
    </row>
    <row r="11" spans="1:4" x14ac:dyDescent="0.3">
      <c r="A11">
        <v>10</v>
      </c>
      <c r="B11" s="7">
        <v>44230</v>
      </c>
      <c r="C11" s="8" t="s">
        <v>28</v>
      </c>
      <c r="D11">
        <v>5.94</v>
      </c>
    </row>
    <row r="12" spans="1:4" x14ac:dyDescent="0.3">
      <c r="A12">
        <v>11</v>
      </c>
      <c r="B12" s="7">
        <v>44233</v>
      </c>
      <c r="C12" s="8" t="s">
        <v>7</v>
      </c>
      <c r="D12">
        <v>8.91</v>
      </c>
    </row>
    <row r="13" spans="1:4" x14ac:dyDescent="0.3">
      <c r="A13">
        <v>12</v>
      </c>
      <c r="B13" s="7">
        <v>44238</v>
      </c>
      <c r="C13" s="8" t="s">
        <v>6</v>
      </c>
      <c r="D13">
        <v>13.86</v>
      </c>
    </row>
    <row r="14" spans="1:4" x14ac:dyDescent="0.3">
      <c r="A14">
        <v>13</v>
      </c>
      <c r="B14" s="7">
        <v>44246</v>
      </c>
      <c r="C14" s="8" t="s">
        <v>2</v>
      </c>
      <c r="D14">
        <v>0.99</v>
      </c>
    </row>
    <row r="15" spans="1:4" x14ac:dyDescent="0.3">
      <c r="A15">
        <v>14</v>
      </c>
      <c r="B15" s="7">
        <v>44259</v>
      </c>
      <c r="C15" s="8" t="s">
        <v>2</v>
      </c>
      <c r="D15">
        <v>1.98</v>
      </c>
    </row>
    <row r="16" spans="1:4" x14ac:dyDescent="0.3">
      <c r="A16">
        <v>15</v>
      </c>
      <c r="B16" s="7">
        <v>44259</v>
      </c>
      <c r="C16" s="8" t="s">
        <v>2</v>
      </c>
      <c r="D16">
        <v>1.98</v>
      </c>
    </row>
    <row r="17" spans="1:4" x14ac:dyDescent="0.3">
      <c r="A17">
        <v>16</v>
      </c>
      <c r="B17" s="7">
        <v>44260</v>
      </c>
      <c r="C17" s="8" t="s">
        <v>2</v>
      </c>
      <c r="D17">
        <v>3.96</v>
      </c>
    </row>
    <row r="18" spans="1:4" x14ac:dyDescent="0.3">
      <c r="A18">
        <v>17</v>
      </c>
      <c r="B18" s="7">
        <v>44261</v>
      </c>
      <c r="C18" s="8" t="s">
        <v>2</v>
      </c>
      <c r="D18">
        <v>5.94</v>
      </c>
    </row>
    <row r="19" spans="1:4" x14ac:dyDescent="0.3">
      <c r="A19">
        <v>18</v>
      </c>
      <c r="B19" s="7">
        <v>44264</v>
      </c>
      <c r="C19" s="8" t="s">
        <v>3</v>
      </c>
      <c r="D19">
        <v>8.91</v>
      </c>
    </row>
    <row r="20" spans="1:4" x14ac:dyDescent="0.3">
      <c r="A20">
        <v>19</v>
      </c>
      <c r="B20" s="7">
        <v>44269</v>
      </c>
      <c r="C20" s="8" t="s">
        <v>4</v>
      </c>
      <c r="D20">
        <v>13.86</v>
      </c>
    </row>
    <row r="21" spans="1:4" x14ac:dyDescent="0.3">
      <c r="A21">
        <v>20</v>
      </c>
      <c r="B21" s="7">
        <v>44277</v>
      </c>
      <c r="C21" s="8" t="s">
        <v>7</v>
      </c>
      <c r="D21">
        <v>0.99</v>
      </c>
    </row>
    <row r="22" spans="1:4" x14ac:dyDescent="0.3">
      <c r="A22">
        <v>21</v>
      </c>
      <c r="B22" s="7">
        <v>44290</v>
      </c>
      <c r="C22" s="8" t="s">
        <v>29</v>
      </c>
      <c r="D22">
        <v>1.98</v>
      </c>
    </row>
    <row r="23" spans="1:4" x14ac:dyDescent="0.3">
      <c r="A23">
        <v>22</v>
      </c>
      <c r="B23" s="7">
        <v>44290</v>
      </c>
      <c r="C23" s="8" t="s">
        <v>11</v>
      </c>
      <c r="D23">
        <v>1.98</v>
      </c>
    </row>
    <row r="24" spans="1:4" x14ac:dyDescent="0.3">
      <c r="A24">
        <v>23</v>
      </c>
      <c r="B24" s="7">
        <v>44291</v>
      </c>
      <c r="C24" s="8" t="s">
        <v>10</v>
      </c>
      <c r="D24">
        <v>3.96</v>
      </c>
    </row>
    <row r="25" spans="1:4" x14ac:dyDescent="0.3">
      <c r="A25">
        <v>24</v>
      </c>
      <c r="B25" s="7">
        <v>44292</v>
      </c>
      <c r="C25" s="8" t="s">
        <v>26</v>
      </c>
      <c r="D25">
        <v>5.94</v>
      </c>
    </row>
    <row r="26" spans="1:4" x14ac:dyDescent="0.3">
      <c r="A26">
        <v>25</v>
      </c>
      <c r="B26" s="7">
        <v>44295</v>
      </c>
      <c r="C26" s="8" t="s">
        <v>5</v>
      </c>
      <c r="D26">
        <v>8.91</v>
      </c>
    </row>
    <row r="27" spans="1:4" x14ac:dyDescent="0.3">
      <c r="A27">
        <v>26</v>
      </c>
      <c r="B27" s="7">
        <v>44300</v>
      </c>
      <c r="C27" s="8" t="s">
        <v>2</v>
      </c>
      <c r="D27">
        <v>13.86</v>
      </c>
    </row>
    <row r="28" spans="1:4" x14ac:dyDescent="0.3">
      <c r="A28">
        <v>27</v>
      </c>
      <c r="B28" s="7">
        <v>44308</v>
      </c>
      <c r="C28" s="8" t="s">
        <v>3</v>
      </c>
      <c r="D28">
        <v>0.99</v>
      </c>
    </row>
    <row r="29" spans="1:4" x14ac:dyDescent="0.3">
      <c r="A29">
        <v>28</v>
      </c>
      <c r="B29" s="7">
        <v>44321</v>
      </c>
      <c r="C29" s="8" t="s">
        <v>9</v>
      </c>
      <c r="D29">
        <v>1.98</v>
      </c>
    </row>
    <row r="30" spans="1:4" x14ac:dyDescent="0.3">
      <c r="A30">
        <v>29</v>
      </c>
      <c r="B30" s="7">
        <v>44321</v>
      </c>
      <c r="C30" s="8" t="s">
        <v>6</v>
      </c>
      <c r="D30">
        <v>1.98</v>
      </c>
    </row>
    <row r="31" spans="1:4" x14ac:dyDescent="0.3">
      <c r="A31">
        <v>30</v>
      </c>
      <c r="B31" s="7">
        <v>44322</v>
      </c>
      <c r="C31" s="8" t="s">
        <v>6</v>
      </c>
      <c r="D31">
        <v>3.96</v>
      </c>
    </row>
    <row r="32" spans="1:4" x14ac:dyDescent="0.3">
      <c r="A32">
        <v>31</v>
      </c>
      <c r="B32" s="7">
        <v>44323</v>
      </c>
      <c r="C32" s="8" t="s">
        <v>4</v>
      </c>
      <c r="D32">
        <v>5.94</v>
      </c>
    </row>
    <row r="33" spans="1:4" x14ac:dyDescent="0.3">
      <c r="A33">
        <v>32</v>
      </c>
      <c r="B33" s="7">
        <v>44326</v>
      </c>
      <c r="C33" s="8" t="s">
        <v>30</v>
      </c>
      <c r="D33">
        <v>8.91</v>
      </c>
    </row>
    <row r="34" spans="1:4" x14ac:dyDescent="0.3">
      <c r="A34">
        <v>33</v>
      </c>
      <c r="B34" s="7">
        <v>44331</v>
      </c>
      <c r="C34" s="8" t="s">
        <v>11</v>
      </c>
      <c r="D34">
        <v>13.86</v>
      </c>
    </row>
    <row r="35" spans="1:4" x14ac:dyDescent="0.3">
      <c r="A35">
        <v>34</v>
      </c>
      <c r="B35" s="7">
        <v>44339</v>
      </c>
      <c r="C35" s="8" t="s">
        <v>5</v>
      </c>
      <c r="D35">
        <v>0.99</v>
      </c>
    </row>
    <row r="36" spans="1:4" x14ac:dyDescent="0.3">
      <c r="A36">
        <v>35</v>
      </c>
      <c r="B36" s="7">
        <v>44352</v>
      </c>
      <c r="C36" s="8" t="s">
        <v>5</v>
      </c>
      <c r="D36">
        <v>1.98</v>
      </c>
    </row>
    <row r="37" spans="1:4" x14ac:dyDescent="0.3">
      <c r="A37">
        <v>36</v>
      </c>
      <c r="B37" s="7">
        <v>44352</v>
      </c>
      <c r="C37" s="8" t="s">
        <v>3</v>
      </c>
      <c r="D37">
        <v>1.98</v>
      </c>
    </row>
    <row r="38" spans="1:4" x14ac:dyDescent="0.3">
      <c r="A38">
        <v>37</v>
      </c>
      <c r="B38" s="7">
        <v>44353</v>
      </c>
      <c r="C38" s="8" t="s">
        <v>2</v>
      </c>
      <c r="D38">
        <v>3.96</v>
      </c>
    </row>
    <row r="39" spans="1:4" x14ac:dyDescent="0.3">
      <c r="A39">
        <v>38</v>
      </c>
      <c r="B39" s="7">
        <v>44354</v>
      </c>
      <c r="C39" s="8" t="s">
        <v>2</v>
      </c>
      <c r="D39">
        <v>5.94</v>
      </c>
    </row>
    <row r="40" spans="1:4" x14ac:dyDescent="0.3">
      <c r="A40">
        <v>39</v>
      </c>
      <c r="B40" s="7">
        <v>44357</v>
      </c>
      <c r="C40" s="8" t="s">
        <v>2</v>
      </c>
      <c r="D40">
        <v>8.91</v>
      </c>
    </row>
    <row r="41" spans="1:4" x14ac:dyDescent="0.3">
      <c r="A41">
        <v>40</v>
      </c>
      <c r="B41" s="7">
        <v>44362</v>
      </c>
      <c r="C41" s="8" t="s">
        <v>6</v>
      </c>
      <c r="D41">
        <v>13.86</v>
      </c>
    </row>
    <row r="42" spans="1:4" x14ac:dyDescent="0.3">
      <c r="A42">
        <v>41</v>
      </c>
      <c r="B42" s="7">
        <v>44370</v>
      </c>
      <c r="C42" s="8" t="s">
        <v>31</v>
      </c>
      <c r="D42">
        <v>0.99</v>
      </c>
    </row>
    <row r="43" spans="1:4" x14ac:dyDescent="0.3">
      <c r="A43">
        <v>42</v>
      </c>
      <c r="B43" s="7">
        <v>44383</v>
      </c>
      <c r="C43" s="8" t="s">
        <v>32</v>
      </c>
      <c r="D43">
        <v>1.98</v>
      </c>
    </row>
    <row r="44" spans="1:4" x14ac:dyDescent="0.3">
      <c r="A44">
        <v>43</v>
      </c>
      <c r="B44" s="7">
        <v>44383</v>
      </c>
      <c r="C44" s="8" t="s">
        <v>7</v>
      </c>
      <c r="D44">
        <v>1.98</v>
      </c>
    </row>
    <row r="45" spans="1:4" x14ac:dyDescent="0.3">
      <c r="A45">
        <v>44</v>
      </c>
      <c r="B45" s="7">
        <v>44384</v>
      </c>
      <c r="C45" s="8" t="s">
        <v>29</v>
      </c>
      <c r="D45">
        <v>3.96</v>
      </c>
    </row>
    <row r="46" spans="1:4" x14ac:dyDescent="0.3">
      <c r="A46">
        <v>45</v>
      </c>
      <c r="B46" s="7">
        <v>44385</v>
      </c>
      <c r="C46" s="8" t="s">
        <v>10</v>
      </c>
      <c r="D46">
        <v>5.94</v>
      </c>
    </row>
    <row r="47" spans="1:4" x14ac:dyDescent="0.3">
      <c r="A47">
        <v>46</v>
      </c>
      <c r="B47" s="7">
        <v>44388</v>
      </c>
      <c r="C47" s="8" t="s">
        <v>8</v>
      </c>
      <c r="D47">
        <v>8.91</v>
      </c>
    </row>
    <row r="48" spans="1:4" x14ac:dyDescent="0.3">
      <c r="A48">
        <v>47</v>
      </c>
      <c r="B48" s="7">
        <v>44393</v>
      </c>
      <c r="C48" s="8" t="s">
        <v>3</v>
      </c>
      <c r="D48">
        <v>13.86</v>
      </c>
    </row>
    <row r="49" spans="1:4" x14ac:dyDescent="0.3">
      <c r="A49">
        <v>48</v>
      </c>
      <c r="B49" s="7">
        <v>44401</v>
      </c>
      <c r="C49" s="8" t="s">
        <v>3</v>
      </c>
      <c r="D49">
        <v>0.99</v>
      </c>
    </row>
    <row r="50" spans="1:4" x14ac:dyDescent="0.3">
      <c r="A50">
        <v>49</v>
      </c>
      <c r="B50" s="7">
        <v>44414</v>
      </c>
      <c r="C50" s="8" t="s">
        <v>3</v>
      </c>
      <c r="D50">
        <v>1.98</v>
      </c>
    </row>
    <row r="51" spans="1:4" x14ac:dyDescent="0.3">
      <c r="A51">
        <v>50</v>
      </c>
      <c r="B51" s="7">
        <v>44414</v>
      </c>
      <c r="C51" s="8" t="s">
        <v>3</v>
      </c>
      <c r="D51">
        <v>1.98</v>
      </c>
    </row>
    <row r="52" spans="1:4" x14ac:dyDescent="0.3">
      <c r="A52">
        <v>51</v>
      </c>
      <c r="B52" s="7">
        <v>44415</v>
      </c>
      <c r="C52" s="8" t="s">
        <v>9</v>
      </c>
      <c r="D52">
        <v>3.96</v>
      </c>
    </row>
    <row r="53" spans="1:4" x14ac:dyDescent="0.3">
      <c r="A53">
        <v>52</v>
      </c>
      <c r="B53" s="7">
        <v>44416</v>
      </c>
      <c r="C53" s="8" t="s">
        <v>6</v>
      </c>
      <c r="D53">
        <v>5.94</v>
      </c>
    </row>
    <row r="54" spans="1:4" x14ac:dyDescent="0.3">
      <c r="A54">
        <v>53</v>
      </c>
      <c r="B54" s="7">
        <v>44419</v>
      </c>
      <c r="C54" s="8" t="s">
        <v>33</v>
      </c>
      <c r="D54">
        <v>8.91</v>
      </c>
    </row>
    <row r="55" spans="1:4" x14ac:dyDescent="0.3">
      <c r="A55">
        <v>54</v>
      </c>
      <c r="B55" s="7">
        <v>44424</v>
      </c>
      <c r="C55" s="8" t="s">
        <v>7</v>
      </c>
      <c r="D55">
        <v>13.86</v>
      </c>
    </row>
    <row r="56" spans="1:4" x14ac:dyDescent="0.3">
      <c r="A56">
        <v>55</v>
      </c>
      <c r="B56" s="7">
        <v>44432</v>
      </c>
      <c r="C56" s="8" t="s">
        <v>27</v>
      </c>
      <c r="D56">
        <v>0.99</v>
      </c>
    </row>
    <row r="57" spans="1:4" x14ac:dyDescent="0.3">
      <c r="A57">
        <v>56</v>
      </c>
      <c r="B57" s="7">
        <v>44445</v>
      </c>
      <c r="C57" s="8" t="s">
        <v>34</v>
      </c>
      <c r="D57">
        <v>1.98</v>
      </c>
    </row>
    <row r="58" spans="1:4" x14ac:dyDescent="0.3">
      <c r="A58">
        <v>57</v>
      </c>
      <c r="B58" s="7">
        <v>44445</v>
      </c>
      <c r="C58" s="8" t="s">
        <v>5</v>
      </c>
      <c r="D58">
        <v>1.98</v>
      </c>
    </row>
    <row r="59" spans="1:4" x14ac:dyDescent="0.3">
      <c r="A59">
        <v>58</v>
      </c>
      <c r="B59" s="7">
        <v>44446</v>
      </c>
      <c r="C59" s="8" t="s">
        <v>5</v>
      </c>
      <c r="D59">
        <v>3.96</v>
      </c>
    </row>
    <row r="60" spans="1:4" x14ac:dyDescent="0.3">
      <c r="A60">
        <v>59</v>
      </c>
      <c r="B60" s="7">
        <v>44447</v>
      </c>
      <c r="C60" s="8" t="s">
        <v>2</v>
      </c>
      <c r="D60">
        <v>5.94</v>
      </c>
    </row>
    <row r="61" spans="1:4" x14ac:dyDescent="0.3">
      <c r="A61">
        <v>60</v>
      </c>
      <c r="B61" s="7">
        <v>44450</v>
      </c>
      <c r="C61" s="8" t="s">
        <v>2</v>
      </c>
      <c r="D61">
        <v>8.91</v>
      </c>
    </row>
    <row r="62" spans="1:4" x14ac:dyDescent="0.3">
      <c r="A62">
        <v>61</v>
      </c>
      <c r="B62" s="7">
        <v>44455</v>
      </c>
      <c r="C62" s="8" t="s">
        <v>3</v>
      </c>
      <c r="D62">
        <v>13.86</v>
      </c>
    </row>
    <row r="63" spans="1:4" x14ac:dyDescent="0.3">
      <c r="A63">
        <v>62</v>
      </c>
      <c r="B63" s="7">
        <v>44463</v>
      </c>
      <c r="C63" s="8" t="s">
        <v>28</v>
      </c>
      <c r="D63">
        <v>0.99</v>
      </c>
    </row>
    <row r="64" spans="1:4" x14ac:dyDescent="0.3">
      <c r="A64">
        <v>63</v>
      </c>
      <c r="B64" s="7">
        <v>44476</v>
      </c>
      <c r="C64" s="8" t="s">
        <v>35</v>
      </c>
      <c r="D64">
        <v>1.98</v>
      </c>
    </row>
    <row r="65" spans="1:4" x14ac:dyDescent="0.3">
      <c r="A65">
        <v>64</v>
      </c>
      <c r="B65" s="7">
        <v>44476</v>
      </c>
      <c r="C65" s="8" t="s">
        <v>36</v>
      </c>
      <c r="D65">
        <v>1.98</v>
      </c>
    </row>
    <row r="66" spans="1:4" x14ac:dyDescent="0.3">
      <c r="A66">
        <v>65</v>
      </c>
      <c r="B66" s="7">
        <v>44477</v>
      </c>
      <c r="C66" s="8" t="s">
        <v>32</v>
      </c>
      <c r="D66">
        <v>3.96</v>
      </c>
    </row>
    <row r="67" spans="1:4" x14ac:dyDescent="0.3">
      <c r="A67">
        <v>66</v>
      </c>
      <c r="B67" s="7">
        <v>44478</v>
      </c>
      <c r="C67" s="8" t="s">
        <v>29</v>
      </c>
      <c r="D67">
        <v>5.94</v>
      </c>
    </row>
    <row r="68" spans="1:4" x14ac:dyDescent="0.3">
      <c r="A68">
        <v>67</v>
      </c>
      <c r="B68" s="7">
        <v>44481</v>
      </c>
      <c r="C68" s="8" t="s">
        <v>6</v>
      </c>
      <c r="D68">
        <v>8.91</v>
      </c>
    </row>
    <row r="69" spans="1:4" x14ac:dyDescent="0.3">
      <c r="A69">
        <v>68</v>
      </c>
      <c r="B69" s="7">
        <v>44486</v>
      </c>
      <c r="C69" s="8" t="s">
        <v>5</v>
      </c>
      <c r="D69">
        <v>13.86</v>
      </c>
    </row>
    <row r="70" spans="1:4" x14ac:dyDescent="0.3">
      <c r="A70">
        <v>69</v>
      </c>
      <c r="B70" s="7">
        <v>44494</v>
      </c>
      <c r="C70" s="8" t="s">
        <v>2</v>
      </c>
      <c r="D70">
        <v>0.99</v>
      </c>
    </row>
    <row r="71" spans="1:4" x14ac:dyDescent="0.3">
      <c r="A71">
        <v>70</v>
      </c>
      <c r="B71" s="7">
        <v>44507</v>
      </c>
      <c r="C71" s="8" t="s">
        <v>2</v>
      </c>
      <c r="D71">
        <v>1.98</v>
      </c>
    </row>
    <row r="72" spans="1:4" x14ac:dyDescent="0.3">
      <c r="A72">
        <v>71</v>
      </c>
      <c r="B72" s="7">
        <v>44507</v>
      </c>
      <c r="C72" s="8" t="s">
        <v>2</v>
      </c>
      <c r="D72">
        <v>1.98</v>
      </c>
    </row>
    <row r="73" spans="1:4" x14ac:dyDescent="0.3">
      <c r="A73">
        <v>72</v>
      </c>
      <c r="B73" s="7">
        <v>44508</v>
      </c>
      <c r="C73" s="8" t="s">
        <v>3</v>
      </c>
      <c r="D73">
        <v>3.96</v>
      </c>
    </row>
    <row r="74" spans="1:4" x14ac:dyDescent="0.3">
      <c r="A74">
        <v>73</v>
      </c>
      <c r="B74" s="7">
        <v>44509</v>
      </c>
      <c r="C74" s="8" t="s">
        <v>9</v>
      </c>
      <c r="D74">
        <v>5.94</v>
      </c>
    </row>
    <row r="75" spans="1:4" x14ac:dyDescent="0.3">
      <c r="A75">
        <v>74</v>
      </c>
      <c r="B75" s="7">
        <v>44512</v>
      </c>
      <c r="C75" s="8" t="s">
        <v>4</v>
      </c>
      <c r="D75">
        <v>8.91</v>
      </c>
    </row>
    <row r="76" spans="1:4" x14ac:dyDescent="0.3">
      <c r="A76">
        <v>75</v>
      </c>
      <c r="B76" s="7">
        <v>44517</v>
      </c>
      <c r="C76" s="8" t="s">
        <v>36</v>
      </c>
      <c r="D76">
        <v>13.86</v>
      </c>
    </row>
    <row r="77" spans="1:4" x14ac:dyDescent="0.3">
      <c r="A77">
        <v>76</v>
      </c>
      <c r="B77" s="7">
        <v>44525</v>
      </c>
      <c r="C77" s="8" t="s">
        <v>26</v>
      </c>
      <c r="D77">
        <v>0.99</v>
      </c>
    </row>
    <row r="78" spans="1:4" x14ac:dyDescent="0.3">
      <c r="A78">
        <v>77</v>
      </c>
      <c r="B78" s="7">
        <v>44538</v>
      </c>
      <c r="C78" s="8" t="s">
        <v>8</v>
      </c>
      <c r="D78">
        <v>1.98</v>
      </c>
    </row>
    <row r="79" spans="1:4" x14ac:dyDescent="0.3">
      <c r="A79">
        <v>78</v>
      </c>
      <c r="B79" s="7">
        <v>44538</v>
      </c>
      <c r="C79" s="8" t="s">
        <v>37</v>
      </c>
      <c r="D79">
        <v>1.98</v>
      </c>
    </row>
    <row r="80" spans="1:4" x14ac:dyDescent="0.3">
      <c r="A80">
        <v>79</v>
      </c>
      <c r="B80" s="7">
        <v>44539</v>
      </c>
      <c r="C80" s="8" t="s">
        <v>34</v>
      </c>
      <c r="D80">
        <v>3.96</v>
      </c>
    </row>
    <row r="81" spans="1:4" x14ac:dyDescent="0.3">
      <c r="A81">
        <v>80</v>
      </c>
      <c r="B81" s="7">
        <v>44540</v>
      </c>
      <c r="C81" s="8" t="s">
        <v>5</v>
      </c>
      <c r="D81">
        <v>5.94</v>
      </c>
    </row>
    <row r="82" spans="1:4" x14ac:dyDescent="0.3">
      <c r="A82">
        <v>81</v>
      </c>
      <c r="B82" s="7">
        <v>44543</v>
      </c>
      <c r="C82" s="8" t="s">
        <v>2</v>
      </c>
      <c r="D82">
        <v>8.91</v>
      </c>
    </row>
    <row r="83" spans="1:4" x14ac:dyDescent="0.3">
      <c r="A83">
        <v>82</v>
      </c>
      <c r="B83" s="7">
        <v>44548</v>
      </c>
      <c r="C83" s="8" t="s">
        <v>2</v>
      </c>
      <c r="D83">
        <v>13.86</v>
      </c>
    </row>
    <row r="84" spans="1:4" x14ac:dyDescent="0.3">
      <c r="A84">
        <v>83</v>
      </c>
      <c r="B84" s="7">
        <v>44556</v>
      </c>
      <c r="C84" s="8" t="s">
        <v>4</v>
      </c>
      <c r="D84">
        <v>0.99</v>
      </c>
    </row>
    <row r="85" spans="1:4" x14ac:dyDescent="0.3">
      <c r="A85">
        <v>84</v>
      </c>
      <c r="B85" s="7">
        <v>44569</v>
      </c>
      <c r="C85" s="8" t="s">
        <v>4</v>
      </c>
      <c r="D85">
        <v>1.98</v>
      </c>
    </row>
    <row r="86" spans="1:4" x14ac:dyDescent="0.3">
      <c r="A86">
        <v>85</v>
      </c>
      <c r="B86" s="7">
        <v>44569</v>
      </c>
      <c r="C86" s="8" t="s">
        <v>38</v>
      </c>
      <c r="D86">
        <v>1.98</v>
      </c>
    </row>
    <row r="87" spans="1:4" x14ac:dyDescent="0.3">
      <c r="A87">
        <v>86</v>
      </c>
      <c r="B87" s="7">
        <v>44570</v>
      </c>
      <c r="C87" s="8" t="s">
        <v>35</v>
      </c>
      <c r="D87">
        <v>3.96</v>
      </c>
    </row>
    <row r="88" spans="1:4" x14ac:dyDescent="0.3">
      <c r="A88">
        <v>87</v>
      </c>
      <c r="B88" s="7">
        <v>44571</v>
      </c>
      <c r="C88" s="8" t="s">
        <v>32</v>
      </c>
      <c r="D88">
        <v>6.94</v>
      </c>
    </row>
    <row r="89" spans="1:4" x14ac:dyDescent="0.3">
      <c r="A89">
        <v>88</v>
      </c>
      <c r="B89" s="7">
        <v>44574</v>
      </c>
      <c r="C89" s="8" t="s">
        <v>11</v>
      </c>
      <c r="D89">
        <v>17.91</v>
      </c>
    </row>
    <row r="90" spans="1:4" x14ac:dyDescent="0.3">
      <c r="A90">
        <v>89</v>
      </c>
      <c r="B90" s="7">
        <v>44579</v>
      </c>
      <c r="C90" s="8" t="s">
        <v>37</v>
      </c>
      <c r="D90">
        <v>18.86</v>
      </c>
    </row>
    <row r="91" spans="1:4" x14ac:dyDescent="0.3">
      <c r="A91">
        <v>90</v>
      </c>
      <c r="B91" s="7">
        <v>44587</v>
      </c>
      <c r="C91" s="8" t="s">
        <v>2</v>
      </c>
      <c r="D91">
        <v>0.99</v>
      </c>
    </row>
    <row r="92" spans="1:4" x14ac:dyDescent="0.3">
      <c r="A92">
        <v>91</v>
      </c>
      <c r="B92" s="7">
        <v>44600</v>
      </c>
      <c r="C92" s="8" t="s">
        <v>2</v>
      </c>
      <c r="D92">
        <v>1.98</v>
      </c>
    </row>
    <row r="93" spans="1:4" x14ac:dyDescent="0.3">
      <c r="A93">
        <v>92</v>
      </c>
      <c r="B93" s="7">
        <v>44600</v>
      </c>
      <c r="C93" s="8" t="s">
        <v>2</v>
      </c>
      <c r="D93">
        <v>1.98</v>
      </c>
    </row>
    <row r="94" spans="1:4" x14ac:dyDescent="0.3">
      <c r="A94">
        <v>93</v>
      </c>
      <c r="B94" s="7">
        <v>44601</v>
      </c>
      <c r="C94" s="8" t="s">
        <v>2</v>
      </c>
      <c r="D94">
        <v>3.96</v>
      </c>
    </row>
    <row r="95" spans="1:4" x14ac:dyDescent="0.3">
      <c r="A95">
        <v>94</v>
      </c>
      <c r="B95" s="7">
        <v>44602</v>
      </c>
      <c r="C95" s="8" t="s">
        <v>3</v>
      </c>
      <c r="D95">
        <v>5.94</v>
      </c>
    </row>
    <row r="96" spans="1:4" x14ac:dyDescent="0.3">
      <c r="A96">
        <v>95</v>
      </c>
      <c r="B96" s="7">
        <v>44605</v>
      </c>
      <c r="C96" s="8" t="s">
        <v>6</v>
      </c>
      <c r="D96">
        <v>8.91</v>
      </c>
    </row>
    <row r="97" spans="1:4" x14ac:dyDescent="0.3">
      <c r="A97">
        <v>96</v>
      </c>
      <c r="B97" s="7">
        <v>44610</v>
      </c>
      <c r="C97" s="8" t="s">
        <v>38</v>
      </c>
      <c r="D97">
        <v>21.86</v>
      </c>
    </row>
    <row r="98" spans="1:4" x14ac:dyDescent="0.3">
      <c r="A98">
        <v>97</v>
      </c>
      <c r="B98" s="7">
        <v>44618</v>
      </c>
      <c r="C98" s="8" t="s">
        <v>10</v>
      </c>
      <c r="D98">
        <v>1.99</v>
      </c>
    </row>
    <row r="99" spans="1:4" x14ac:dyDescent="0.3">
      <c r="A99">
        <v>98</v>
      </c>
      <c r="B99" s="7">
        <v>44631</v>
      </c>
      <c r="C99" s="8" t="s">
        <v>5</v>
      </c>
      <c r="D99">
        <v>3.98</v>
      </c>
    </row>
    <row r="100" spans="1:4" x14ac:dyDescent="0.3">
      <c r="A100">
        <v>99</v>
      </c>
      <c r="B100" s="7">
        <v>44631</v>
      </c>
      <c r="C100" s="8" t="s">
        <v>3</v>
      </c>
      <c r="D100">
        <v>3.98</v>
      </c>
    </row>
    <row r="101" spans="1:4" x14ac:dyDescent="0.3">
      <c r="A101">
        <v>100</v>
      </c>
      <c r="B101" s="7">
        <v>44632</v>
      </c>
      <c r="C101" s="8" t="s">
        <v>8</v>
      </c>
      <c r="D101">
        <v>3.96</v>
      </c>
    </row>
    <row r="102" spans="1:4" x14ac:dyDescent="0.3">
      <c r="A102">
        <v>101</v>
      </c>
      <c r="B102" s="7">
        <v>44633</v>
      </c>
      <c r="C102" s="8" t="s">
        <v>34</v>
      </c>
      <c r="D102">
        <v>5.94</v>
      </c>
    </row>
    <row r="103" spans="1:4" x14ac:dyDescent="0.3">
      <c r="A103">
        <v>102</v>
      </c>
      <c r="B103" s="7">
        <v>44636</v>
      </c>
      <c r="C103" s="8" t="s">
        <v>3</v>
      </c>
      <c r="D103">
        <v>9.91</v>
      </c>
    </row>
    <row r="104" spans="1:4" x14ac:dyDescent="0.3">
      <c r="A104">
        <v>103</v>
      </c>
      <c r="B104" s="7">
        <v>44641</v>
      </c>
      <c r="C104" s="8" t="s">
        <v>2</v>
      </c>
      <c r="D104">
        <v>15.86</v>
      </c>
    </row>
    <row r="105" spans="1:4" x14ac:dyDescent="0.3">
      <c r="A105">
        <v>104</v>
      </c>
      <c r="B105" s="7">
        <v>44649</v>
      </c>
      <c r="C105" s="8" t="s">
        <v>6</v>
      </c>
      <c r="D105">
        <v>0.99</v>
      </c>
    </row>
    <row r="106" spans="1:4" x14ac:dyDescent="0.3">
      <c r="A106">
        <v>105</v>
      </c>
      <c r="B106" s="7">
        <v>44662</v>
      </c>
      <c r="C106" s="8" t="s">
        <v>4</v>
      </c>
      <c r="D106">
        <v>1.98</v>
      </c>
    </row>
    <row r="107" spans="1:4" x14ac:dyDescent="0.3">
      <c r="A107">
        <v>106</v>
      </c>
      <c r="B107" s="7">
        <v>44662</v>
      </c>
      <c r="C107" s="8" t="s">
        <v>4</v>
      </c>
      <c r="D107">
        <v>1.98</v>
      </c>
    </row>
    <row r="108" spans="1:4" x14ac:dyDescent="0.3">
      <c r="A108">
        <v>107</v>
      </c>
      <c r="B108" s="7">
        <v>44663</v>
      </c>
      <c r="C108" s="8" t="s">
        <v>4</v>
      </c>
      <c r="D108">
        <v>3.96</v>
      </c>
    </row>
    <row r="109" spans="1:4" x14ac:dyDescent="0.3">
      <c r="A109">
        <v>108</v>
      </c>
      <c r="B109" s="7">
        <v>44664</v>
      </c>
      <c r="C109" s="8" t="s">
        <v>35</v>
      </c>
      <c r="D109">
        <v>5.94</v>
      </c>
    </row>
    <row r="110" spans="1:4" x14ac:dyDescent="0.3">
      <c r="A110">
        <v>109</v>
      </c>
      <c r="B110" s="7">
        <v>44667</v>
      </c>
      <c r="C110" s="8" t="s">
        <v>7</v>
      </c>
      <c r="D110">
        <v>8.91</v>
      </c>
    </row>
    <row r="111" spans="1:4" x14ac:dyDescent="0.3">
      <c r="A111">
        <v>110</v>
      </c>
      <c r="B111" s="7">
        <v>44672</v>
      </c>
      <c r="C111" s="8" t="s">
        <v>3</v>
      </c>
      <c r="D111">
        <v>13.86</v>
      </c>
    </row>
    <row r="112" spans="1:4" x14ac:dyDescent="0.3">
      <c r="A112">
        <v>111</v>
      </c>
      <c r="B112" s="7">
        <v>44680</v>
      </c>
      <c r="C112" s="8" t="s">
        <v>2</v>
      </c>
      <c r="D112">
        <v>0.99</v>
      </c>
    </row>
    <row r="113" spans="1:4" x14ac:dyDescent="0.3">
      <c r="A113">
        <v>112</v>
      </c>
      <c r="B113" s="7">
        <v>44693</v>
      </c>
      <c r="C113" s="8" t="s">
        <v>2</v>
      </c>
      <c r="D113">
        <v>1.98</v>
      </c>
    </row>
    <row r="114" spans="1:4" x14ac:dyDescent="0.3">
      <c r="A114">
        <v>113</v>
      </c>
      <c r="B114" s="7">
        <v>44693</v>
      </c>
      <c r="C114" s="8" t="s">
        <v>2</v>
      </c>
      <c r="D114">
        <v>1.98</v>
      </c>
    </row>
    <row r="115" spans="1:4" x14ac:dyDescent="0.3">
      <c r="A115">
        <v>114</v>
      </c>
      <c r="B115" s="7">
        <v>44694</v>
      </c>
      <c r="C115" s="8" t="s">
        <v>2</v>
      </c>
      <c r="D115">
        <v>3.96</v>
      </c>
    </row>
    <row r="116" spans="1:4" x14ac:dyDescent="0.3">
      <c r="A116">
        <v>115</v>
      </c>
      <c r="B116" s="7">
        <v>44695</v>
      </c>
      <c r="C116" s="8" t="s">
        <v>2</v>
      </c>
      <c r="D116">
        <v>5.94</v>
      </c>
    </row>
    <row r="117" spans="1:4" x14ac:dyDescent="0.3">
      <c r="A117">
        <v>116</v>
      </c>
      <c r="B117" s="7">
        <v>44698</v>
      </c>
      <c r="C117" s="8" t="s">
        <v>3</v>
      </c>
      <c r="D117">
        <v>8.91</v>
      </c>
    </row>
    <row r="118" spans="1:4" x14ac:dyDescent="0.3">
      <c r="A118">
        <v>117</v>
      </c>
      <c r="B118" s="7">
        <v>44703</v>
      </c>
      <c r="C118" s="8" t="s">
        <v>4</v>
      </c>
      <c r="D118">
        <v>13.86</v>
      </c>
    </row>
    <row r="119" spans="1:4" x14ac:dyDescent="0.3">
      <c r="A119">
        <v>118</v>
      </c>
      <c r="B119" s="7">
        <v>44711</v>
      </c>
      <c r="C119" s="8" t="s">
        <v>29</v>
      </c>
      <c r="D119">
        <v>0.99</v>
      </c>
    </row>
    <row r="120" spans="1:4" x14ac:dyDescent="0.3">
      <c r="A120">
        <v>119</v>
      </c>
      <c r="B120" s="7">
        <v>44724</v>
      </c>
      <c r="C120" s="8" t="s">
        <v>39</v>
      </c>
      <c r="D120">
        <v>1.98</v>
      </c>
    </row>
    <row r="121" spans="1:4" x14ac:dyDescent="0.3">
      <c r="A121">
        <v>120</v>
      </c>
      <c r="B121" s="7">
        <v>44724</v>
      </c>
      <c r="C121" s="8" t="s">
        <v>10</v>
      </c>
      <c r="D121">
        <v>1.98</v>
      </c>
    </row>
    <row r="122" spans="1:4" x14ac:dyDescent="0.3">
      <c r="A122">
        <v>121</v>
      </c>
      <c r="B122" s="7">
        <v>44725</v>
      </c>
      <c r="C122" s="8" t="s">
        <v>5</v>
      </c>
      <c r="D122">
        <v>3.96</v>
      </c>
    </row>
    <row r="123" spans="1:4" x14ac:dyDescent="0.3">
      <c r="A123">
        <v>122</v>
      </c>
      <c r="B123" s="7">
        <v>44726</v>
      </c>
      <c r="C123" s="8" t="s">
        <v>8</v>
      </c>
      <c r="D123">
        <v>5.94</v>
      </c>
    </row>
    <row r="124" spans="1:4" x14ac:dyDescent="0.3">
      <c r="A124">
        <v>123</v>
      </c>
      <c r="B124" s="7">
        <v>44729</v>
      </c>
      <c r="C124" s="8" t="s">
        <v>5</v>
      </c>
      <c r="D124">
        <v>8.91</v>
      </c>
    </row>
    <row r="125" spans="1:4" x14ac:dyDescent="0.3">
      <c r="A125">
        <v>124</v>
      </c>
      <c r="B125" s="7">
        <v>44734</v>
      </c>
      <c r="C125" s="8" t="s">
        <v>2</v>
      </c>
      <c r="D125">
        <v>13.86</v>
      </c>
    </row>
    <row r="126" spans="1:4" x14ac:dyDescent="0.3">
      <c r="A126">
        <v>125</v>
      </c>
      <c r="B126" s="7">
        <v>44742</v>
      </c>
      <c r="C126" s="8" t="s">
        <v>9</v>
      </c>
      <c r="D126">
        <v>0.99</v>
      </c>
    </row>
    <row r="127" spans="1:4" x14ac:dyDescent="0.3">
      <c r="A127">
        <v>126</v>
      </c>
      <c r="B127" s="7">
        <v>44755</v>
      </c>
      <c r="C127" s="8" t="s">
        <v>9</v>
      </c>
      <c r="D127">
        <v>1.98</v>
      </c>
    </row>
    <row r="128" spans="1:4" x14ac:dyDescent="0.3">
      <c r="A128">
        <v>127</v>
      </c>
      <c r="B128" s="7">
        <v>44755</v>
      </c>
      <c r="C128" s="8" t="s">
        <v>6</v>
      </c>
      <c r="D128">
        <v>1.98</v>
      </c>
    </row>
    <row r="129" spans="1:4" x14ac:dyDescent="0.3">
      <c r="A129">
        <v>128</v>
      </c>
      <c r="B129" s="7">
        <v>44756</v>
      </c>
      <c r="C129" s="8" t="s">
        <v>4</v>
      </c>
      <c r="D129">
        <v>3.96</v>
      </c>
    </row>
    <row r="130" spans="1:4" x14ac:dyDescent="0.3">
      <c r="A130">
        <v>129</v>
      </c>
      <c r="B130" s="7">
        <v>44757</v>
      </c>
      <c r="C130" s="8" t="s">
        <v>4</v>
      </c>
      <c r="D130">
        <v>5.94</v>
      </c>
    </row>
    <row r="131" spans="1:4" x14ac:dyDescent="0.3">
      <c r="A131">
        <v>130</v>
      </c>
      <c r="B131" s="7">
        <v>44760</v>
      </c>
      <c r="C131" s="8" t="s">
        <v>36</v>
      </c>
      <c r="D131">
        <v>8.91</v>
      </c>
    </row>
    <row r="132" spans="1:4" x14ac:dyDescent="0.3">
      <c r="A132">
        <v>131</v>
      </c>
      <c r="B132" s="7">
        <v>44765</v>
      </c>
      <c r="C132" s="8" t="s">
        <v>10</v>
      </c>
      <c r="D132">
        <v>13.86</v>
      </c>
    </row>
    <row r="133" spans="1:4" x14ac:dyDescent="0.3">
      <c r="A133">
        <v>132</v>
      </c>
      <c r="B133" s="7">
        <v>44773</v>
      </c>
      <c r="C133" s="8" t="s">
        <v>5</v>
      </c>
      <c r="D133">
        <v>0.99</v>
      </c>
    </row>
    <row r="134" spans="1:4" x14ac:dyDescent="0.3">
      <c r="A134">
        <v>133</v>
      </c>
      <c r="B134" s="7">
        <v>44786</v>
      </c>
      <c r="C134" s="8" t="s">
        <v>3</v>
      </c>
      <c r="D134">
        <v>1.98</v>
      </c>
    </row>
    <row r="135" spans="1:4" x14ac:dyDescent="0.3">
      <c r="A135">
        <v>134</v>
      </c>
      <c r="B135" s="7">
        <v>44786</v>
      </c>
      <c r="C135" s="8" t="s">
        <v>2</v>
      </c>
      <c r="D135">
        <v>1.98</v>
      </c>
    </row>
    <row r="136" spans="1:4" x14ac:dyDescent="0.3">
      <c r="A136">
        <v>135</v>
      </c>
      <c r="B136" s="7">
        <v>44787</v>
      </c>
      <c r="C136" s="8" t="s">
        <v>2</v>
      </c>
      <c r="D136">
        <v>3.96</v>
      </c>
    </row>
    <row r="137" spans="1:4" x14ac:dyDescent="0.3">
      <c r="A137">
        <v>136</v>
      </c>
      <c r="B137" s="7">
        <v>44788</v>
      </c>
      <c r="C137" s="8" t="s">
        <v>2</v>
      </c>
      <c r="D137">
        <v>5.94</v>
      </c>
    </row>
    <row r="138" spans="1:4" x14ac:dyDescent="0.3">
      <c r="A138">
        <v>137</v>
      </c>
      <c r="B138" s="7">
        <v>44791</v>
      </c>
      <c r="C138" s="8" t="s">
        <v>2</v>
      </c>
      <c r="D138">
        <v>8.91</v>
      </c>
    </row>
    <row r="139" spans="1:4" x14ac:dyDescent="0.3">
      <c r="A139">
        <v>138</v>
      </c>
      <c r="B139" s="7">
        <v>44796</v>
      </c>
      <c r="C139" s="8" t="s">
        <v>6</v>
      </c>
      <c r="D139">
        <v>13.86</v>
      </c>
    </row>
    <row r="140" spans="1:4" x14ac:dyDescent="0.3">
      <c r="A140">
        <v>139</v>
      </c>
      <c r="B140" s="7">
        <v>44804</v>
      </c>
      <c r="C140" s="8" t="s">
        <v>32</v>
      </c>
      <c r="D140">
        <v>0.99</v>
      </c>
    </row>
    <row r="141" spans="1:4" x14ac:dyDescent="0.3">
      <c r="A141">
        <v>140</v>
      </c>
      <c r="B141" s="7">
        <v>44817</v>
      </c>
      <c r="C141" s="8" t="s">
        <v>7</v>
      </c>
      <c r="D141">
        <v>1.98</v>
      </c>
    </row>
    <row r="142" spans="1:4" x14ac:dyDescent="0.3">
      <c r="A142">
        <v>141</v>
      </c>
      <c r="B142" s="7">
        <v>44817</v>
      </c>
      <c r="C142" s="8" t="s">
        <v>7</v>
      </c>
      <c r="D142">
        <v>1.98</v>
      </c>
    </row>
    <row r="143" spans="1:4" x14ac:dyDescent="0.3">
      <c r="A143">
        <v>142</v>
      </c>
      <c r="B143" s="7">
        <v>44818</v>
      </c>
      <c r="C143" s="8" t="s">
        <v>39</v>
      </c>
      <c r="D143">
        <v>3.96</v>
      </c>
    </row>
    <row r="144" spans="1:4" x14ac:dyDescent="0.3">
      <c r="A144">
        <v>143</v>
      </c>
      <c r="B144" s="7">
        <v>44819</v>
      </c>
      <c r="C144" s="8" t="s">
        <v>5</v>
      </c>
      <c r="D144">
        <v>5.94</v>
      </c>
    </row>
    <row r="145" spans="1:4" x14ac:dyDescent="0.3">
      <c r="A145">
        <v>144</v>
      </c>
      <c r="B145" s="7">
        <v>44822</v>
      </c>
      <c r="C145" s="8" t="s">
        <v>37</v>
      </c>
      <c r="D145">
        <v>8.91</v>
      </c>
    </row>
    <row r="146" spans="1:4" x14ac:dyDescent="0.3">
      <c r="A146">
        <v>145</v>
      </c>
      <c r="B146" s="7">
        <v>44827</v>
      </c>
      <c r="C146" s="8" t="s">
        <v>2</v>
      </c>
      <c r="D146">
        <v>13.86</v>
      </c>
    </row>
    <row r="147" spans="1:4" x14ac:dyDescent="0.3">
      <c r="A147">
        <v>146</v>
      </c>
      <c r="B147" s="7">
        <v>44835</v>
      </c>
      <c r="C147" s="8" t="s">
        <v>3</v>
      </c>
      <c r="D147">
        <v>0.99</v>
      </c>
    </row>
    <row r="148" spans="1:4" x14ac:dyDescent="0.3">
      <c r="A148">
        <v>147</v>
      </c>
      <c r="B148" s="7">
        <v>44848</v>
      </c>
      <c r="C148" s="8" t="s">
        <v>3</v>
      </c>
      <c r="D148">
        <v>1.98</v>
      </c>
    </row>
    <row r="149" spans="1:4" x14ac:dyDescent="0.3">
      <c r="A149">
        <v>148</v>
      </c>
      <c r="B149" s="7">
        <v>44848</v>
      </c>
      <c r="C149" s="8" t="s">
        <v>3</v>
      </c>
      <c r="D149">
        <v>1.98</v>
      </c>
    </row>
    <row r="150" spans="1:4" x14ac:dyDescent="0.3">
      <c r="A150">
        <v>149</v>
      </c>
      <c r="B150" s="7">
        <v>44849</v>
      </c>
      <c r="C150" s="8" t="s">
        <v>9</v>
      </c>
      <c r="D150">
        <v>3.96</v>
      </c>
    </row>
    <row r="151" spans="1:4" x14ac:dyDescent="0.3">
      <c r="A151">
        <v>150</v>
      </c>
      <c r="B151" s="7">
        <v>44850</v>
      </c>
      <c r="C151" s="8" t="s">
        <v>4</v>
      </c>
      <c r="D151">
        <v>5.94</v>
      </c>
    </row>
    <row r="152" spans="1:4" x14ac:dyDescent="0.3">
      <c r="A152">
        <v>151</v>
      </c>
      <c r="B152" s="7">
        <v>44853</v>
      </c>
      <c r="C152" s="8" t="s">
        <v>38</v>
      </c>
      <c r="D152">
        <v>8.91</v>
      </c>
    </row>
    <row r="153" spans="1:4" x14ac:dyDescent="0.3">
      <c r="A153">
        <v>152</v>
      </c>
      <c r="B153" s="7">
        <v>44858</v>
      </c>
      <c r="C153" s="8" t="s">
        <v>7</v>
      </c>
      <c r="D153">
        <v>13.86</v>
      </c>
    </row>
    <row r="154" spans="1:4" x14ac:dyDescent="0.3">
      <c r="A154">
        <v>153</v>
      </c>
      <c r="B154" s="7">
        <v>44866</v>
      </c>
      <c r="C154" s="8" t="s">
        <v>34</v>
      </c>
      <c r="D154">
        <v>0.99</v>
      </c>
    </row>
    <row r="155" spans="1:4" x14ac:dyDescent="0.3">
      <c r="A155">
        <v>154</v>
      </c>
      <c r="B155" s="7">
        <v>44879</v>
      </c>
      <c r="C155" s="8" t="s">
        <v>5</v>
      </c>
      <c r="D155">
        <v>1.98</v>
      </c>
    </row>
    <row r="156" spans="1:4" x14ac:dyDescent="0.3">
      <c r="A156">
        <v>155</v>
      </c>
      <c r="B156" s="7">
        <v>44879</v>
      </c>
      <c r="C156" s="8" t="s">
        <v>5</v>
      </c>
      <c r="D156">
        <v>1.98</v>
      </c>
    </row>
    <row r="157" spans="1:4" x14ac:dyDescent="0.3">
      <c r="A157">
        <v>156</v>
      </c>
      <c r="B157" s="7">
        <v>44880</v>
      </c>
      <c r="C157" s="8" t="s">
        <v>3</v>
      </c>
      <c r="D157">
        <v>3.96</v>
      </c>
    </row>
    <row r="158" spans="1:4" x14ac:dyDescent="0.3">
      <c r="A158">
        <v>157</v>
      </c>
      <c r="B158" s="7">
        <v>44881</v>
      </c>
      <c r="C158" s="8" t="s">
        <v>2</v>
      </c>
      <c r="D158">
        <v>5.94</v>
      </c>
    </row>
    <row r="159" spans="1:4" x14ac:dyDescent="0.3">
      <c r="A159">
        <v>158</v>
      </c>
      <c r="B159" s="7">
        <v>44884</v>
      </c>
      <c r="C159" s="8" t="s">
        <v>2</v>
      </c>
      <c r="D159">
        <v>8.91</v>
      </c>
    </row>
    <row r="160" spans="1:4" x14ac:dyDescent="0.3">
      <c r="A160">
        <v>159</v>
      </c>
      <c r="B160" s="7">
        <v>44889</v>
      </c>
      <c r="C160" s="8" t="s">
        <v>3</v>
      </c>
      <c r="D160">
        <v>13.86</v>
      </c>
    </row>
    <row r="161" spans="1:4" x14ac:dyDescent="0.3">
      <c r="A161">
        <v>160</v>
      </c>
      <c r="B161" s="7">
        <v>44897</v>
      </c>
      <c r="C161" s="8" t="s">
        <v>35</v>
      </c>
      <c r="D161">
        <v>0.99</v>
      </c>
    </row>
    <row r="162" spans="1:4" x14ac:dyDescent="0.3">
      <c r="A162">
        <v>161</v>
      </c>
      <c r="B162" s="7">
        <v>44910</v>
      </c>
      <c r="C162" s="8" t="s">
        <v>30</v>
      </c>
      <c r="D162">
        <v>1.98</v>
      </c>
    </row>
    <row r="163" spans="1:4" x14ac:dyDescent="0.3">
      <c r="A163">
        <v>162</v>
      </c>
      <c r="B163" s="7">
        <v>44910</v>
      </c>
      <c r="C163" s="8" t="s">
        <v>31</v>
      </c>
      <c r="D163">
        <v>1.98</v>
      </c>
    </row>
    <row r="164" spans="1:4" x14ac:dyDescent="0.3">
      <c r="A164">
        <v>163</v>
      </c>
      <c r="B164" s="7">
        <v>44911</v>
      </c>
      <c r="C164" s="8" t="s">
        <v>7</v>
      </c>
      <c r="D164">
        <v>3.96</v>
      </c>
    </row>
    <row r="165" spans="1:4" x14ac:dyDescent="0.3">
      <c r="A165">
        <v>164</v>
      </c>
      <c r="B165" s="7">
        <v>44912</v>
      </c>
      <c r="C165" s="8" t="s">
        <v>39</v>
      </c>
      <c r="D165">
        <v>5.94</v>
      </c>
    </row>
    <row r="166" spans="1:4" x14ac:dyDescent="0.3">
      <c r="A166">
        <v>165</v>
      </c>
      <c r="B166" s="7">
        <v>44915</v>
      </c>
      <c r="C166" s="8" t="s">
        <v>3</v>
      </c>
      <c r="D166">
        <v>8.91</v>
      </c>
    </row>
    <row r="167" spans="1:4" x14ac:dyDescent="0.3">
      <c r="A167">
        <v>166</v>
      </c>
      <c r="B167" s="7">
        <v>44920</v>
      </c>
      <c r="C167" s="8" t="s">
        <v>5</v>
      </c>
      <c r="D167">
        <v>13.86</v>
      </c>
    </row>
    <row r="168" spans="1:4" x14ac:dyDescent="0.3">
      <c r="A168">
        <v>167</v>
      </c>
      <c r="B168" s="7">
        <v>44928</v>
      </c>
      <c r="C168" s="8" t="s">
        <v>2</v>
      </c>
      <c r="D168">
        <v>0.99</v>
      </c>
    </row>
    <row r="169" spans="1:4" x14ac:dyDescent="0.3">
      <c r="A169">
        <v>168</v>
      </c>
      <c r="B169" s="7">
        <v>44941</v>
      </c>
      <c r="C169" s="8" t="s">
        <v>2</v>
      </c>
      <c r="D169">
        <v>1.98</v>
      </c>
    </row>
    <row r="170" spans="1:4" x14ac:dyDescent="0.3">
      <c r="A170">
        <v>169</v>
      </c>
      <c r="B170" s="7">
        <v>44941</v>
      </c>
      <c r="C170" s="8" t="s">
        <v>3</v>
      </c>
      <c r="D170">
        <v>1.98</v>
      </c>
    </row>
    <row r="171" spans="1:4" x14ac:dyDescent="0.3">
      <c r="A171">
        <v>170</v>
      </c>
      <c r="B171" s="7">
        <v>44942</v>
      </c>
      <c r="C171" s="8" t="s">
        <v>3</v>
      </c>
      <c r="D171">
        <v>3.96</v>
      </c>
    </row>
    <row r="172" spans="1:4" x14ac:dyDescent="0.3">
      <c r="A172">
        <v>171</v>
      </c>
      <c r="B172" s="7">
        <v>44943</v>
      </c>
      <c r="C172" s="8" t="s">
        <v>9</v>
      </c>
      <c r="D172">
        <v>5.94</v>
      </c>
    </row>
    <row r="173" spans="1:4" x14ac:dyDescent="0.3">
      <c r="A173">
        <v>172</v>
      </c>
      <c r="B173" s="7">
        <v>44946</v>
      </c>
      <c r="C173" s="8" t="s">
        <v>4</v>
      </c>
      <c r="D173">
        <v>8.91</v>
      </c>
    </row>
    <row r="174" spans="1:4" x14ac:dyDescent="0.3">
      <c r="A174">
        <v>173</v>
      </c>
      <c r="B174" s="7">
        <v>44951</v>
      </c>
      <c r="C174" s="8" t="s">
        <v>31</v>
      </c>
      <c r="D174">
        <v>13.86</v>
      </c>
    </row>
    <row r="175" spans="1:4" x14ac:dyDescent="0.3">
      <c r="A175">
        <v>174</v>
      </c>
      <c r="B175" s="7">
        <v>44959</v>
      </c>
      <c r="C175" s="8" t="s">
        <v>8</v>
      </c>
      <c r="D175">
        <v>0.99</v>
      </c>
    </row>
    <row r="176" spans="1:4" x14ac:dyDescent="0.3">
      <c r="A176">
        <v>175</v>
      </c>
      <c r="B176" s="7">
        <v>44972</v>
      </c>
      <c r="C176" s="8" t="s">
        <v>8</v>
      </c>
      <c r="D176">
        <v>1.98</v>
      </c>
    </row>
    <row r="177" spans="1:4" x14ac:dyDescent="0.3">
      <c r="A177">
        <v>176</v>
      </c>
      <c r="B177" s="7">
        <v>44972</v>
      </c>
      <c r="C177" s="8" t="s">
        <v>27</v>
      </c>
      <c r="D177">
        <v>1.98</v>
      </c>
    </row>
    <row r="178" spans="1:4" x14ac:dyDescent="0.3">
      <c r="A178">
        <v>177</v>
      </c>
      <c r="B178" s="7">
        <v>44973</v>
      </c>
      <c r="C178" s="8" t="s">
        <v>5</v>
      </c>
      <c r="D178">
        <v>3.96</v>
      </c>
    </row>
    <row r="179" spans="1:4" x14ac:dyDescent="0.3">
      <c r="A179">
        <v>178</v>
      </c>
      <c r="B179" s="7">
        <v>44974</v>
      </c>
      <c r="C179" s="8" t="s">
        <v>3</v>
      </c>
      <c r="D179">
        <v>5.94</v>
      </c>
    </row>
    <row r="180" spans="1:4" x14ac:dyDescent="0.3">
      <c r="A180">
        <v>179</v>
      </c>
      <c r="B180" s="7">
        <v>44977</v>
      </c>
      <c r="C180" s="8" t="s">
        <v>2</v>
      </c>
      <c r="D180">
        <v>8.91</v>
      </c>
    </row>
    <row r="181" spans="1:4" x14ac:dyDescent="0.3">
      <c r="A181">
        <v>180</v>
      </c>
      <c r="B181" s="7">
        <v>44982</v>
      </c>
      <c r="C181" s="8" t="s">
        <v>3</v>
      </c>
      <c r="D181">
        <v>13.86</v>
      </c>
    </row>
    <row r="182" spans="1:4" x14ac:dyDescent="0.3">
      <c r="A182">
        <v>181</v>
      </c>
      <c r="B182" s="7">
        <v>44990</v>
      </c>
      <c r="C182" s="8" t="s">
        <v>4</v>
      </c>
      <c r="D182">
        <v>0.99</v>
      </c>
    </row>
    <row r="183" spans="1:4" x14ac:dyDescent="0.3">
      <c r="A183">
        <v>182</v>
      </c>
      <c r="B183" s="7">
        <v>45003</v>
      </c>
      <c r="C183" s="8" t="s">
        <v>33</v>
      </c>
      <c r="D183">
        <v>1.98</v>
      </c>
    </row>
    <row r="184" spans="1:4" x14ac:dyDescent="0.3">
      <c r="A184">
        <v>183</v>
      </c>
      <c r="B184" s="7">
        <v>45003</v>
      </c>
      <c r="C184" s="8" t="s">
        <v>28</v>
      </c>
      <c r="D184">
        <v>1.98</v>
      </c>
    </row>
    <row r="185" spans="1:4" x14ac:dyDescent="0.3">
      <c r="A185">
        <v>184</v>
      </c>
      <c r="B185" s="7">
        <v>45004</v>
      </c>
      <c r="C185" s="8" t="s">
        <v>30</v>
      </c>
      <c r="D185">
        <v>3.96</v>
      </c>
    </row>
    <row r="186" spans="1:4" x14ac:dyDescent="0.3">
      <c r="A186">
        <v>185</v>
      </c>
      <c r="B186" s="7">
        <v>45005</v>
      </c>
      <c r="C186" s="8" t="s">
        <v>7</v>
      </c>
      <c r="D186">
        <v>5.94</v>
      </c>
    </row>
    <row r="187" spans="1:4" x14ac:dyDescent="0.3">
      <c r="A187">
        <v>186</v>
      </c>
      <c r="B187" s="7">
        <v>45008</v>
      </c>
      <c r="C187" s="8" t="s">
        <v>10</v>
      </c>
      <c r="D187">
        <v>8.91</v>
      </c>
    </row>
    <row r="188" spans="1:4" x14ac:dyDescent="0.3">
      <c r="A188">
        <v>187</v>
      </c>
      <c r="B188" s="7">
        <v>45013</v>
      </c>
      <c r="C188" s="8" t="s">
        <v>27</v>
      </c>
      <c r="D188">
        <v>13.86</v>
      </c>
    </row>
    <row r="189" spans="1:4" x14ac:dyDescent="0.3">
      <c r="A189">
        <v>188</v>
      </c>
      <c r="B189" s="7">
        <v>45021</v>
      </c>
      <c r="C189" s="8" t="s">
        <v>2</v>
      </c>
      <c r="D189">
        <v>0.99</v>
      </c>
    </row>
    <row r="190" spans="1:4" x14ac:dyDescent="0.3">
      <c r="A190">
        <v>189</v>
      </c>
      <c r="B190" s="7">
        <v>45034</v>
      </c>
      <c r="C190" s="8" t="s">
        <v>2</v>
      </c>
      <c r="D190">
        <v>1.98</v>
      </c>
    </row>
    <row r="191" spans="1:4" x14ac:dyDescent="0.3">
      <c r="A191">
        <v>190</v>
      </c>
      <c r="B191" s="7">
        <v>45034</v>
      </c>
      <c r="C191" s="8" t="s">
        <v>2</v>
      </c>
      <c r="D191">
        <v>1.98</v>
      </c>
    </row>
    <row r="192" spans="1:4" x14ac:dyDescent="0.3">
      <c r="A192">
        <v>191</v>
      </c>
      <c r="B192" s="7">
        <v>45035</v>
      </c>
      <c r="C192" s="8" t="s">
        <v>2</v>
      </c>
      <c r="D192">
        <v>3.96</v>
      </c>
    </row>
    <row r="193" spans="1:4" x14ac:dyDescent="0.3">
      <c r="A193">
        <v>192</v>
      </c>
      <c r="B193" s="7">
        <v>45036</v>
      </c>
      <c r="C193" s="8" t="s">
        <v>3</v>
      </c>
      <c r="D193">
        <v>5.94</v>
      </c>
    </row>
    <row r="194" spans="1:4" x14ac:dyDescent="0.3">
      <c r="A194">
        <v>193</v>
      </c>
      <c r="B194" s="7">
        <v>45039</v>
      </c>
      <c r="C194" s="8" t="s">
        <v>6</v>
      </c>
      <c r="D194">
        <v>14.91</v>
      </c>
    </row>
    <row r="195" spans="1:4" x14ac:dyDescent="0.3">
      <c r="A195">
        <v>194</v>
      </c>
      <c r="B195" s="7">
        <v>45044</v>
      </c>
      <c r="C195" s="8" t="s">
        <v>28</v>
      </c>
      <c r="D195">
        <v>21.86</v>
      </c>
    </row>
    <row r="196" spans="1:4" x14ac:dyDescent="0.3">
      <c r="A196">
        <v>195</v>
      </c>
      <c r="B196" s="7">
        <v>45052</v>
      </c>
      <c r="C196" s="8" t="s">
        <v>5</v>
      </c>
      <c r="D196">
        <v>0.99</v>
      </c>
    </row>
    <row r="197" spans="1:4" x14ac:dyDescent="0.3">
      <c r="A197">
        <v>196</v>
      </c>
      <c r="B197" s="7">
        <v>45065</v>
      </c>
      <c r="C197" s="8" t="s">
        <v>6</v>
      </c>
      <c r="D197">
        <v>1.98</v>
      </c>
    </row>
    <row r="198" spans="1:4" x14ac:dyDescent="0.3">
      <c r="A198">
        <v>197</v>
      </c>
      <c r="B198" s="7">
        <v>45065</v>
      </c>
      <c r="C198" s="8" t="s">
        <v>26</v>
      </c>
      <c r="D198">
        <v>1.98</v>
      </c>
    </row>
    <row r="199" spans="1:4" x14ac:dyDescent="0.3">
      <c r="A199">
        <v>198</v>
      </c>
      <c r="B199" s="7">
        <v>45066</v>
      </c>
      <c r="C199" s="8" t="s">
        <v>8</v>
      </c>
      <c r="D199">
        <v>3.96</v>
      </c>
    </row>
    <row r="200" spans="1:4" x14ac:dyDescent="0.3">
      <c r="A200">
        <v>199</v>
      </c>
      <c r="B200" s="7">
        <v>45067</v>
      </c>
      <c r="C200" s="8" t="s">
        <v>5</v>
      </c>
      <c r="D200">
        <v>5.94</v>
      </c>
    </row>
    <row r="201" spans="1:4" x14ac:dyDescent="0.3">
      <c r="A201">
        <v>200</v>
      </c>
      <c r="B201" s="7">
        <v>45070</v>
      </c>
      <c r="C201" s="8" t="s">
        <v>2</v>
      </c>
      <c r="D201">
        <v>8.91</v>
      </c>
    </row>
    <row r="202" spans="1:4" x14ac:dyDescent="0.3">
      <c r="A202">
        <v>201</v>
      </c>
      <c r="B202" s="7">
        <v>45075</v>
      </c>
      <c r="C202" s="8" t="s">
        <v>2</v>
      </c>
      <c r="D202">
        <v>18.86</v>
      </c>
    </row>
    <row r="203" spans="1:4" x14ac:dyDescent="0.3">
      <c r="A203">
        <v>202</v>
      </c>
      <c r="B203" s="7">
        <v>45083</v>
      </c>
      <c r="C203" s="8" t="s">
        <v>4</v>
      </c>
      <c r="D203">
        <v>1.99</v>
      </c>
    </row>
    <row r="204" spans="1:4" x14ac:dyDescent="0.3">
      <c r="A204">
        <v>203</v>
      </c>
      <c r="B204" s="7">
        <v>45096</v>
      </c>
      <c r="C204" s="8" t="s">
        <v>4</v>
      </c>
      <c r="D204">
        <v>2.98</v>
      </c>
    </row>
    <row r="205" spans="1:4" x14ac:dyDescent="0.3">
      <c r="A205">
        <v>204</v>
      </c>
      <c r="B205" s="7">
        <v>45096</v>
      </c>
      <c r="C205" s="8" t="s">
        <v>4</v>
      </c>
      <c r="D205">
        <v>3.98</v>
      </c>
    </row>
    <row r="206" spans="1:4" x14ac:dyDescent="0.3">
      <c r="A206">
        <v>205</v>
      </c>
      <c r="B206" s="7">
        <v>45097</v>
      </c>
      <c r="C206" s="8" t="s">
        <v>33</v>
      </c>
      <c r="D206">
        <v>7.96</v>
      </c>
    </row>
    <row r="207" spans="1:4" x14ac:dyDescent="0.3">
      <c r="A207">
        <v>206</v>
      </c>
      <c r="B207" s="7">
        <v>45098</v>
      </c>
      <c r="C207" s="8" t="s">
        <v>30</v>
      </c>
      <c r="D207">
        <v>8.94</v>
      </c>
    </row>
    <row r="208" spans="1:4" x14ac:dyDescent="0.3">
      <c r="A208">
        <v>207</v>
      </c>
      <c r="B208" s="7">
        <v>45101</v>
      </c>
      <c r="C208" s="8" t="s">
        <v>7</v>
      </c>
      <c r="D208">
        <v>8.91</v>
      </c>
    </row>
    <row r="209" spans="1:4" x14ac:dyDescent="0.3">
      <c r="A209">
        <v>208</v>
      </c>
      <c r="B209" s="7">
        <v>45106</v>
      </c>
      <c r="C209" s="8" t="s">
        <v>26</v>
      </c>
      <c r="D209">
        <v>15.86</v>
      </c>
    </row>
    <row r="210" spans="1:4" x14ac:dyDescent="0.3">
      <c r="A210">
        <v>209</v>
      </c>
      <c r="B210" s="7">
        <v>45114</v>
      </c>
      <c r="C210" s="8" t="s">
        <v>2</v>
      </c>
      <c r="D210">
        <v>0.99</v>
      </c>
    </row>
    <row r="211" spans="1:4" x14ac:dyDescent="0.3">
      <c r="A211">
        <v>210</v>
      </c>
      <c r="B211" s="7">
        <v>45127</v>
      </c>
      <c r="C211" s="8" t="s">
        <v>2</v>
      </c>
      <c r="D211">
        <v>1.98</v>
      </c>
    </row>
    <row r="212" spans="1:4" x14ac:dyDescent="0.3">
      <c r="A212">
        <v>211</v>
      </c>
      <c r="B212" s="7">
        <v>45127</v>
      </c>
      <c r="C212" s="8" t="s">
        <v>2</v>
      </c>
      <c r="D212">
        <v>1.98</v>
      </c>
    </row>
    <row r="213" spans="1:4" x14ac:dyDescent="0.3">
      <c r="A213">
        <v>212</v>
      </c>
      <c r="B213" s="7">
        <v>45128</v>
      </c>
      <c r="C213" s="8" t="s">
        <v>2</v>
      </c>
      <c r="D213">
        <v>3.96</v>
      </c>
    </row>
    <row r="214" spans="1:4" x14ac:dyDescent="0.3">
      <c r="A214">
        <v>213</v>
      </c>
      <c r="B214" s="7">
        <v>45129</v>
      </c>
      <c r="C214" s="8" t="s">
        <v>2</v>
      </c>
      <c r="D214">
        <v>5.94</v>
      </c>
    </row>
    <row r="215" spans="1:4" x14ac:dyDescent="0.3">
      <c r="A215">
        <v>214</v>
      </c>
      <c r="B215" s="7">
        <v>45132</v>
      </c>
      <c r="C215" s="8" t="s">
        <v>3</v>
      </c>
      <c r="D215">
        <v>8.91</v>
      </c>
    </row>
    <row r="216" spans="1:4" x14ac:dyDescent="0.3">
      <c r="A216">
        <v>215</v>
      </c>
      <c r="B216" s="7">
        <v>45137</v>
      </c>
      <c r="C216" s="8" t="s">
        <v>4</v>
      </c>
      <c r="D216">
        <v>13.86</v>
      </c>
    </row>
    <row r="217" spans="1:4" x14ac:dyDescent="0.3">
      <c r="A217">
        <v>216</v>
      </c>
      <c r="B217" s="7">
        <v>45145</v>
      </c>
      <c r="C217" s="8" t="s">
        <v>39</v>
      </c>
      <c r="D217">
        <v>0.99</v>
      </c>
    </row>
    <row r="218" spans="1:4" x14ac:dyDescent="0.3">
      <c r="A218">
        <v>217</v>
      </c>
      <c r="B218" s="7">
        <v>45158</v>
      </c>
      <c r="C218" s="8" t="s">
        <v>11</v>
      </c>
      <c r="D218">
        <v>1.98</v>
      </c>
    </row>
    <row r="219" spans="1:4" x14ac:dyDescent="0.3">
      <c r="A219">
        <v>218</v>
      </c>
      <c r="B219" s="7">
        <v>45158</v>
      </c>
      <c r="C219" s="8" t="s">
        <v>10</v>
      </c>
      <c r="D219">
        <v>1.98</v>
      </c>
    </row>
    <row r="220" spans="1:4" x14ac:dyDescent="0.3">
      <c r="A220">
        <v>219</v>
      </c>
      <c r="B220" s="7">
        <v>45159</v>
      </c>
      <c r="C220" s="8" t="s">
        <v>6</v>
      </c>
      <c r="D220">
        <v>3.96</v>
      </c>
    </row>
    <row r="221" spans="1:4" x14ac:dyDescent="0.3">
      <c r="A221">
        <v>220</v>
      </c>
      <c r="B221" s="7">
        <v>45160</v>
      </c>
      <c r="C221" s="8" t="s">
        <v>8</v>
      </c>
      <c r="D221">
        <v>5.94</v>
      </c>
    </row>
    <row r="222" spans="1:4" x14ac:dyDescent="0.3">
      <c r="A222">
        <v>221</v>
      </c>
      <c r="B222" s="7">
        <v>45163</v>
      </c>
      <c r="C222" s="8" t="s">
        <v>5</v>
      </c>
      <c r="D222">
        <v>8.91</v>
      </c>
    </row>
    <row r="223" spans="1:4" x14ac:dyDescent="0.3">
      <c r="A223">
        <v>222</v>
      </c>
      <c r="B223" s="7">
        <v>45168</v>
      </c>
      <c r="C223" s="8" t="s">
        <v>2</v>
      </c>
      <c r="D223">
        <v>13.86</v>
      </c>
    </row>
    <row r="224" spans="1:4" x14ac:dyDescent="0.3">
      <c r="A224">
        <v>223</v>
      </c>
      <c r="B224" s="7">
        <v>45176</v>
      </c>
      <c r="C224" s="8" t="s">
        <v>9</v>
      </c>
      <c r="D224">
        <v>0.99</v>
      </c>
    </row>
    <row r="225" spans="1:4" x14ac:dyDescent="0.3">
      <c r="A225">
        <v>224</v>
      </c>
      <c r="B225" s="7">
        <v>45189</v>
      </c>
      <c r="C225" s="8" t="s">
        <v>6</v>
      </c>
      <c r="D225">
        <v>1.98</v>
      </c>
    </row>
    <row r="226" spans="1:4" x14ac:dyDescent="0.3">
      <c r="A226">
        <v>225</v>
      </c>
      <c r="B226" s="7">
        <v>45189</v>
      </c>
      <c r="C226" s="8" t="s">
        <v>6</v>
      </c>
      <c r="D226">
        <v>1.98</v>
      </c>
    </row>
    <row r="227" spans="1:4" x14ac:dyDescent="0.3">
      <c r="A227">
        <v>226</v>
      </c>
      <c r="B227" s="7">
        <v>45190</v>
      </c>
      <c r="C227" s="8" t="s">
        <v>4</v>
      </c>
      <c r="D227">
        <v>3.96</v>
      </c>
    </row>
    <row r="228" spans="1:4" x14ac:dyDescent="0.3">
      <c r="A228">
        <v>227</v>
      </c>
      <c r="B228" s="7">
        <v>45191</v>
      </c>
      <c r="C228" s="8" t="s">
        <v>33</v>
      </c>
      <c r="D228">
        <v>5.94</v>
      </c>
    </row>
    <row r="229" spans="1:4" x14ac:dyDescent="0.3">
      <c r="A229">
        <v>228</v>
      </c>
      <c r="B229" s="7">
        <v>45194</v>
      </c>
      <c r="C229" s="8" t="s">
        <v>31</v>
      </c>
      <c r="D229">
        <v>8.91</v>
      </c>
    </row>
    <row r="230" spans="1:4" x14ac:dyDescent="0.3">
      <c r="A230">
        <v>229</v>
      </c>
      <c r="B230" s="7">
        <v>45199</v>
      </c>
      <c r="C230" s="8" t="s">
        <v>10</v>
      </c>
      <c r="D230">
        <v>13.86</v>
      </c>
    </row>
    <row r="231" spans="1:4" x14ac:dyDescent="0.3">
      <c r="A231">
        <v>230</v>
      </c>
      <c r="B231" s="7">
        <v>45207</v>
      </c>
      <c r="C231" s="8" t="s">
        <v>3</v>
      </c>
      <c r="D231">
        <v>0.99</v>
      </c>
    </row>
    <row r="232" spans="1:4" x14ac:dyDescent="0.3">
      <c r="A232">
        <v>231</v>
      </c>
      <c r="B232" s="7">
        <v>45220</v>
      </c>
      <c r="C232" s="8" t="s">
        <v>3</v>
      </c>
      <c r="D232">
        <v>1.98</v>
      </c>
    </row>
    <row r="233" spans="1:4" x14ac:dyDescent="0.3">
      <c r="A233">
        <v>232</v>
      </c>
      <c r="B233" s="7">
        <v>45220</v>
      </c>
      <c r="C233" s="8" t="s">
        <v>2</v>
      </c>
      <c r="D233">
        <v>1.98</v>
      </c>
    </row>
    <row r="234" spans="1:4" x14ac:dyDescent="0.3">
      <c r="A234">
        <v>233</v>
      </c>
      <c r="B234" s="7">
        <v>45221</v>
      </c>
      <c r="C234" s="8" t="s">
        <v>2</v>
      </c>
      <c r="D234">
        <v>3.96</v>
      </c>
    </row>
    <row r="235" spans="1:4" x14ac:dyDescent="0.3">
      <c r="A235">
        <v>234</v>
      </c>
      <c r="B235" s="7">
        <v>45222</v>
      </c>
      <c r="C235" s="8" t="s">
        <v>2</v>
      </c>
      <c r="D235">
        <v>5.94</v>
      </c>
    </row>
    <row r="236" spans="1:4" x14ac:dyDescent="0.3">
      <c r="A236">
        <v>235</v>
      </c>
      <c r="B236" s="7">
        <v>45225</v>
      </c>
      <c r="C236" s="8" t="s">
        <v>3</v>
      </c>
      <c r="D236">
        <v>8.91</v>
      </c>
    </row>
    <row r="237" spans="1:4" x14ac:dyDescent="0.3">
      <c r="A237">
        <v>236</v>
      </c>
      <c r="B237" s="7">
        <v>45230</v>
      </c>
      <c r="C237" s="8" t="s">
        <v>6</v>
      </c>
      <c r="D237">
        <v>13.86</v>
      </c>
    </row>
    <row r="238" spans="1:4" x14ac:dyDescent="0.3">
      <c r="A238">
        <v>237</v>
      </c>
      <c r="B238" s="7">
        <v>45238</v>
      </c>
      <c r="C238" s="8" t="s">
        <v>7</v>
      </c>
      <c r="D238">
        <v>0.99</v>
      </c>
    </row>
    <row r="239" spans="1:4" x14ac:dyDescent="0.3">
      <c r="A239">
        <v>238</v>
      </c>
      <c r="B239" s="7">
        <v>45251</v>
      </c>
      <c r="C239" s="8" t="s">
        <v>7</v>
      </c>
      <c r="D239">
        <v>1.98</v>
      </c>
    </row>
    <row r="240" spans="1:4" x14ac:dyDescent="0.3">
      <c r="A240">
        <v>239</v>
      </c>
      <c r="B240" s="7">
        <v>45251</v>
      </c>
      <c r="C240" s="8" t="s">
        <v>29</v>
      </c>
      <c r="D240">
        <v>1.98</v>
      </c>
    </row>
    <row r="241" spans="1:4" x14ac:dyDescent="0.3">
      <c r="A241">
        <v>240</v>
      </c>
      <c r="B241" s="7">
        <v>45252</v>
      </c>
      <c r="C241" s="8" t="s">
        <v>11</v>
      </c>
      <c r="D241">
        <v>3.96</v>
      </c>
    </row>
    <row r="242" spans="1:4" x14ac:dyDescent="0.3">
      <c r="A242">
        <v>241</v>
      </c>
      <c r="B242" s="7">
        <v>45253</v>
      </c>
      <c r="C242" s="8" t="s">
        <v>6</v>
      </c>
      <c r="D242">
        <v>5.94</v>
      </c>
    </row>
    <row r="243" spans="1:4" x14ac:dyDescent="0.3">
      <c r="A243">
        <v>242</v>
      </c>
      <c r="B243" s="7">
        <v>45256</v>
      </c>
      <c r="C243" s="8" t="s">
        <v>27</v>
      </c>
      <c r="D243">
        <v>8.91</v>
      </c>
    </row>
    <row r="244" spans="1:4" x14ac:dyDescent="0.3">
      <c r="A244">
        <v>243</v>
      </c>
      <c r="B244" s="7">
        <v>45261</v>
      </c>
      <c r="C244" s="8" t="s">
        <v>2</v>
      </c>
      <c r="D244">
        <v>13.86</v>
      </c>
    </row>
    <row r="245" spans="1:4" x14ac:dyDescent="0.3">
      <c r="A245">
        <v>244</v>
      </c>
      <c r="B245" s="7">
        <v>45269</v>
      </c>
      <c r="C245" s="8" t="s">
        <v>3</v>
      </c>
      <c r="D245">
        <v>0.99</v>
      </c>
    </row>
    <row r="246" spans="1:4" x14ac:dyDescent="0.3">
      <c r="A246">
        <v>245</v>
      </c>
      <c r="B246" s="7">
        <v>45282</v>
      </c>
      <c r="C246" s="8" t="s">
        <v>3</v>
      </c>
      <c r="D246">
        <v>1.98</v>
      </c>
    </row>
    <row r="247" spans="1:4" x14ac:dyDescent="0.3">
      <c r="A247">
        <v>246</v>
      </c>
      <c r="B247" s="7">
        <v>45282</v>
      </c>
      <c r="C247" s="8" t="s">
        <v>9</v>
      </c>
      <c r="D247">
        <v>1.98</v>
      </c>
    </row>
    <row r="248" spans="1:4" x14ac:dyDescent="0.3">
      <c r="A248">
        <v>247</v>
      </c>
      <c r="B248" s="7">
        <v>45283</v>
      </c>
      <c r="C248" s="8" t="s">
        <v>6</v>
      </c>
      <c r="D248">
        <v>3.96</v>
      </c>
    </row>
    <row r="249" spans="1:4" x14ac:dyDescent="0.3">
      <c r="A249">
        <v>248</v>
      </c>
      <c r="B249" s="7">
        <v>45284</v>
      </c>
      <c r="C249" s="8" t="s">
        <v>4</v>
      </c>
      <c r="D249">
        <v>5.94</v>
      </c>
    </row>
    <row r="250" spans="1:4" x14ac:dyDescent="0.3">
      <c r="A250">
        <v>249</v>
      </c>
      <c r="B250" s="7">
        <v>45287</v>
      </c>
      <c r="C250" s="8" t="s">
        <v>28</v>
      </c>
      <c r="D250">
        <v>8.91</v>
      </c>
    </row>
    <row r="251" spans="1:4" x14ac:dyDescent="0.3">
      <c r="A251">
        <v>250</v>
      </c>
      <c r="B251" s="7">
        <v>45292</v>
      </c>
      <c r="C251" s="8" t="s">
        <v>29</v>
      </c>
      <c r="D251">
        <v>13.86</v>
      </c>
    </row>
    <row r="252" spans="1:4" x14ac:dyDescent="0.3">
      <c r="A252">
        <v>251</v>
      </c>
      <c r="B252" s="7">
        <v>45300</v>
      </c>
      <c r="C252" s="8" t="s">
        <v>5</v>
      </c>
      <c r="D252">
        <v>0.99</v>
      </c>
    </row>
    <row r="253" spans="1:4" x14ac:dyDescent="0.3">
      <c r="A253">
        <v>252</v>
      </c>
      <c r="B253" s="7">
        <v>45313</v>
      </c>
      <c r="C253" s="8" t="s">
        <v>5</v>
      </c>
      <c r="D253">
        <v>1.98</v>
      </c>
    </row>
    <row r="254" spans="1:4" x14ac:dyDescent="0.3">
      <c r="A254">
        <v>253</v>
      </c>
      <c r="B254" s="7">
        <v>45313</v>
      </c>
      <c r="C254" s="8" t="s">
        <v>5</v>
      </c>
      <c r="D254">
        <v>1.98</v>
      </c>
    </row>
    <row r="255" spans="1:4" x14ac:dyDescent="0.3">
      <c r="A255">
        <v>254</v>
      </c>
      <c r="B255" s="7">
        <v>45314</v>
      </c>
      <c r="C255" s="8" t="s">
        <v>3</v>
      </c>
      <c r="D255">
        <v>3.96</v>
      </c>
    </row>
    <row r="256" spans="1:4" x14ac:dyDescent="0.3">
      <c r="A256">
        <v>255</v>
      </c>
      <c r="B256" s="7">
        <v>45315</v>
      </c>
      <c r="C256" s="8" t="s">
        <v>2</v>
      </c>
      <c r="D256">
        <v>5.94</v>
      </c>
    </row>
    <row r="257" spans="1:4" x14ac:dyDescent="0.3">
      <c r="A257">
        <v>256</v>
      </c>
      <c r="B257" s="7">
        <v>45318</v>
      </c>
      <c r="C257" s="8" t="s">
        <v>2</v>
      </c>
      <c r="D257">
        <v>8.91</v>
      </c>
    </row>
    <row r="258" spans="1:4" x14ac:dyDescent="0.3">
      <c r="A258">
        <v>257</v>
      </c>
      <c r="B258" s="7">
        <v>45323</v>
      </c>
      <c r="C258" s="8" t="s">
        <v>9</v>
      </c>
      <c r="D258">
        <v>13.86</v>
      </c>
    </row>
    <row r="259" spans="1:4" x14ac:dyDescent="0.3">
      <c r="A259">
        <v>258</v>
      </c>
      <c r="B259" s="7">
        <v>45331</v>
      </c>
      <c r="C259" s="8" t="s">
        <v>30</v>
      </c>
      <c r="D259">
        <v>0.99</v>
      </c>
    </row>
    <row r="260" spans="1:4" x14ac:dyDescent="0.3">
      <c r="A260">
        <v>259</v>
      </c>
      <c r="B260" s="7">
        <v>45344</v>
      </c>
      <c r="C260" s="8" t="s">
        <v>36</v>
      </c>
      <c r="D260">
        <v>1.98</v>
      </c>
    </row>
    <row r="261" spans="1:4" x14ac:dyDescent="0.3">
      <c r="A261">
        <v>260</v>
      </c>
      <c r="B261" s="7">
        <v>45344</v>
      </c>
      <c r="C261" s="8" t="s">
        <v>32</v>
      </c>
      <c r="D261">
        <v>1.98</v>
      </c>
    </row>
    <row r="262" spans="1:4" x14ac:dyDescent="0.3">
      <c r="A262">
        <v>261</v>
      </c>
      <c r="B262" s="7">
        <v>45345</v>
      </c>
      <c r="C262" s="8" t="s">
        <v>7</v>
      </c>
      <c r="D262">
        <v>3.96</v>
      </c>
    </row>
    <row r="263" spans="1:4" x14ac:dyDescent="0.3">
      <c r="A263">
        <v>262</v>
      </c>
      <c r="B263" s="7">
        <v>45346</v>
      </c>
      <c r="C263" s="8" t="s">
        <v>11</v>
      </c>
      <c r="D263">
        <v>5.94</v>
      </c>
    </row>
    <row r="264" spans="1:4" x14ac:dyDescent="0.3">
      <c r="A264">
        <v>263</v>
      </c>
      <c r="B264" s="7">
        <v>45349</v>
      </c>
      <c r="C264" s="8" t="s">
        <v>26</v>
      </c>
      <c r="D264">
        <v>8.91</v>
      </c>
    </row>
    <row r="265" spans="1:4" x14ac:dyDescent="0.3">
      <c r="A265">
        <v>264</v>
      </c>
      <c r="B265" s="7">
        <v>45354</v>
      </c>
      <c r="C265" s="8" t="s">
        <v>5</v>
      </c>
      <c r="D265">
        <v>13.86</v>
      </c>
    </row>
    <row r="266" spans="1:4" x14ac:dyDescent="0.3">
      <c r="A266">
        <v>265</v>
      </c>
      <c r="B266" s="7">
        <v>45362</v>
      </c>
      <c r="C266" s="8" t="s">
        <v>2</v>
      </c>
      <c r="D266">
        <v>0.99</v>
      </c>
    </row>
    <row r="267" spans="1:4" x14ac:dyDescent="0.3">
      <c r="A267">
        <v>266</v>
      </c>
      <c r="B267" s="7">
        <v>45375</v>
      </c>
      <c r="C267" s="8" t="s">
        <v>2</v>
      </c>
      <c r="D267">
        <v>1.98</v>
      </c>
    </row>
    <row r="268" spans="1:4" x14ac:dyDescent="0.3">
      <c r="A268">
        <v>267</v>
      </c>
      <c r="B268" s="7">
        <v>45375</v>
      </c>
      <c r="C268" s="8" t="s">
        <v>3</v>
      </c>
      <c r="D268">
        <v>1.98</v>
      </c>
    </row>
    <row r="269" spans="1:4" x14ac:dyDescent="0.3">
      <c r="A269">
        <v>268</v>
      </c>
      <c r="B269" s="7">
        <v>45376</v>
      </c>
      <c r="C269" s="8" t="s">
        <v>3</v>
      </c>
      <c r="D269">
        <v>3.96</v>
      </c>
    </row>
    <row r="270" spans="1:4" x14ac:dyDescent="0.3">
      <c r="A270">
        <v>269</v>
      </c>
      <c r="B270" s="7">
        <v>45377</v>
      </c>
      <c r="C270" s="8" t="s">
        <v>6</v>
      </c>
      <c r="D270">
        <v>5.94</v>
      </c>
    </row>
    <row r="271" spans="1:4" x14ac:dyDescent="0.3">
      <c r="A271">
        <v>270</v>
      </c>
      <c r="B271" s="7">
        <v>45380</v>
      </c>
      <c r="C271" s="8" t="s">
        <v>4</v>
      </c>
      <c r="D271">
        <v>8.91</v>
      </c>
    </row>
    <row r="272" spans="1:4" x14ac:dyDescent="0.3">
      <c r="A272">
        <v>271</v>
      </c>
      <c r="B272" s="7">
        <v>45385</v>
      </c>
      <c r="C272" s="8" t="s">
        <v>32</v>
      </c>
      <c r="D272">
        <v>13.86</v>
      </c>
    </row>
    <row r="273" spans="1:4" x14ac:dyDescent="0.3">
      <c r="A273">
        <v>272</v>
      </c>
      <c r="B273" s="7">
        <v>45393</v>
      </c>
      <c r="C273" s="8" t="s">
        <v>8</v>
      </c>
      <c r="D273">
        <v>0.99</v>
      </c>
    </row>
    <row r="274" spans="1:4" x14ac:dyDescent="0.3">
      <c r="A274">
        <v>273</v>
      </c>
      <c r="B274" s="7">
        <v>45406</v>
      </c>
      <c r="C274" s="8" t="s">
        <v>37</v>
      </c>
      <c r="D274">
        <v>1.98</v>
      </c>
    </row>
    <row r="275" spans="1:4" x14ac:dyDescent="0.3">
      <c r="A275">
        <v>274</v>
      </c>
      <c r="B275" s="7">
        <v>45406</v>
      </c>
      <c r="C275" s="8" t="s">
        <v>34</v>
      </c>
      <c r="D275">
        <v>1.98</v>
      </c>
    </row>
    <row r="276" spans="1:4" x14ac:dyDescent="0.3">
      <c r="A276">
        <v>275</v>
      </c>
      <c r="B276" s="7">
        <v>45407</v>
      </c>
      <c r="C276" s="8" t="s">
        <v>5</v>
      </c>
      <c r="D276">
        <v>3.96</v>
      </c>
    </row>
    <row r="277" spans="1:4" x14ac:dyDescent="0.3">
      <c r="A277">
        <v>276</v>
      </c>
      <c r="B277" s="7">
        <v>45408</v>
      </c>
      <c r="C277" s="8" t="s">
        <v>3</v>
      </c>
      <c r="D277">
        <v>5.94</v>
      </c>
    </row>
    <row r="278" spans="1:4" x14ac:dyDescent="0.3">
      <c r="A278">
        <v>277</v>
      </c>
      <c r="B278" s="7">
        <v>45411</v>
      </c>
      <c r="C278" s="8" t="s">
        <v>2</v>
      </c>
      <c r="D278">
        <v>8.91</v>
      </c>
    </row>
    <row r="279" spans="1:4" x14ac:dyDescent="0.3">
      <c r="A279">
        <v>278</v>
      </c>
      <c r="B279" s="7">
        <v>45416</v>
      </c>
      <c r="C279" s="8" t="s">
        <v>3</v>
      </c>
      <c r="D279">
        <v>13.86</v>
      </c>
    </row>
    <row r="280" spans="1:4" x14ac:dyDescent="0.3">
      <c r="A280">
        <v>279</v>
      </c>
      <c r="B280" s="7">
        <v>45424</v>
      </c>
      <c r="C280" s="8" t="s">
        <v>33</v>
      </c>
      <c r="D280">
        <v>0.99</v>
      </c>
    </row>
    <row r="281" spans="1:4" x14ac:dyDescent="0.3">
      <c r="A281">
        <v>280</v>
      </c>
      <c r="B281" s="7">
        <v>45437</v>
      </c>
      <c r="C281" s="8" t="s">
        <v>38</v>
      </c>
      <c r="D281">
        <v>1.98</v>
      </c>
    </row>
    <row r="282" spans="1:4" x14ac:dyDescent="0.3">
      <c r="A282">
        <v>281</v>
      </c>
      <c r="B282" s="7">
        <v>45437</v>
      </c>
      <c r="C282" s="8" t="s">
        <v>35</v>
      </c>
      <c r="D282">
        <v>1.98</v>
      </c>
    </row>
    <row r="283" spans="1:4" x14ac:dyDescent="0.3">
      <c r="A283">
        <v>282</v>
      </c>
      <c r="B283" s="7">
        <v>45438</v>
      </c>
      <c r="C283" s="8" t="s">
        <v>36</v>
      </c>
      <c r="D283">
        <v>3.96</v>
      </c>
    </row>
    <row r="284" spans="1:4" x14ac:dyDescent="0.3">
      <c r="A284">
        <v>283</v>
      </c>
      <c r="B284" s="7">
        <v>45439</v>
      </c>
      <c r="C284" s="8" t="s">
        <v>7</v>
      </c>
      <c r="D284">
        <v>5.94</v>
      </c>
    </row>
    <row r="285" spans="1:4" x14ac:dyDescent="0.3">
      <c r="A285">
        <v>284</v>
      </c>
      <c r="B285" s="7">
        <v>45442</v>
      </c>
      <c r="C285" s="8" t="s">
        <v>10</v>
      </c>
      <c r="D285">
        <v>8.91</v>
      </c>
    </row>
    <row r="286" spans="1:4" x14ac:dyDescent="0.3">
      <c r="A286">
        <v>285</v>
      </c>
      <c r="B286" s="7">
        <v>45447</v>
      </c>
      <c r="C286" s="8" t="s">
        <v>34</v>
      </c>
      <c r="D286">
        <v>13.86</v>
      </c>
    </row>
    <row r="287" spans="1:4" x14ac:dyDescent="0.3">
      <c r="A287">
        <v>286</v>
      </c>
      <c r="B287" s="7">
        <v>45455</v>
      </c>
      <c r="C287" s="8" t="s">
        <v>2</v>
      </c>
      <c r="D287">
        <v>0.99</v>
      </c>
    </row>
    <row r="288" spans="1:4" x14ac:dyDescent="0.3">
      <c r="A288">
        <v>287</v>
      </c>
      <c r="B288" s="7">
        <v>45468</v>
      </c>
      <c r="C288" s="8" t="s">
        <v>2</v>
      </c>
      <c r="D288">
        <v>1.98</v>
      </c>
    </row>
    <row r="289" spans="1:4" x14ac:dyDescent="0.3">
      <c r="A289">
        <v>288</v>
      </c>
      <c r="B289" s="7">
        <v>45468</v>
      </c>
      <c r="C289" s="8" t="s">
        <v>2</v>
      </c>
      <c r="D289">
        <v>1.98</v>
      </c>
    </row>
    <row r="290" spans="1:4" x14ac:dyDescent="0.3">
      <c r="A290">
        <v>289</v>
      </c>
      <c r="B290" s="7">
        <v>45469</v>
      </c>
      <c r="C290" s="8" t="s">
        <v>2</v>
      </c>
      <c r="D290">
        <v>3.96</v>
      </c>
    </row>
    <row r="291" spans="1:4" x14ac:dyDescent="0.3">
      <c r="A291">
        <v>290</v>
      </c>
      <c r="B291" s="7">
        <v>45470</v>
      </c>
      <c r="C291" s="8" t="s">
        <v>3</v>
      </c>
      <c r="D291">
        <v>5.94</v>
      </c>
    </row>
    <row r="292" spans="1:4" x14ac:dyDescent="0.3">
      <c r="A292">
        <v>291</v>
      </c>
      <c r="B292" s="7">
        <v>45473</v>
      </c>
      <c r="C292" s="8" t="s">
        <v>6</v>
      </c>
      <c r="D292">
        <v>8.91</v>
      </c>
    </row>
    <row r="293" spans="1:4" x14ac:dyDescent="0.3">
      <c r="A293">
        <v>292</v>
      </c>
      <c r="B293" s="7">
        <v>45478</v>
      </c>
      <c r="C293" s="8" t="s">
        <v>35</v>
      </c>
      <c r="D293">
        <v>13.86</v>
      </c>
    </row>
    <row r="294" spans="1:4" x14ac:dyDescent="0.3">
      <c r="A294">
        <v>293</v>
      </c>
      <c r="B294" s="7">
        <v>45486</v>
      </c>
      <c r="C294" s="8" t="s">
        <v>6</v>
      </c>
      <c r="D294">
        <v>0.99</v>
      </c>
    </row>
    <row r="295" spans="1:4" x14ac:dyDescent="0.3">
      <c r="A295">
        <v>294</v>
      </c>
      <c r="B295" s="7">
        <v>45499</v>
      </c>
      <c r="C295" s="8" t="s">
        <v>3</v>
      </c>
      <c r="D295">
        <v>1.98</v>
      </c>
    </row>
    <row r="296" spans="1:4" x14ac:dyDescent="0.3">
      <c r="A296">
        <v>295</v>
      </c>
      <c r="B296" s="7">
        <v>45499</v>
      </c>
      <c r="C296" s="8" t="s">
        <v>8</v>
      </c>
      <c r="D296">
        <v>1.98</v>
      </c>
    </row>
    <row r="297" spans="1:4" x14ac:dyDescent="0.3">
      <c r="A297">
        <v>296</v>
      </c>
      <c r="B297" s="7">
        <v>45500</v>
      </c>
      <c r="C297" s="8" t="s">
        <v>37</v>
      </c>
      <c r="D297">
        <v>3.96</v>
      </c>
    </row>
    <row r="298" spans="1:4" x14ac:dyDescent="0.3">
      <c r="A298">
        <v>297</v>
      </c>
      <c r="B298" s="7">
        <v>45501</v>
      </c>
      <c r="C298" s="8" t="s">
        <v>5</v>
      </c>
      <c r="D298">
        <v>5.94</v>
      </c>
    </row>
    <row r="299" spans="1:4" x14ac:dyDescent="0.3">
      <c r="A299">
        <v>298</v>
      </c>
      <c r="B299" s="7">
        <v>45504</v>
      </c>
      <c r="C299" s="8" t="s">
        <v>2</v>
      </c>
      <c r="D299">
        <v>10.91</v>
      </c>
    </row>
    <row r="300" spans="1:4" x14ac:dyDescent="0.3">
      <c r="A300">
        <v>299</v>
      </c>
      <c r="B300" s="7">
        <v>45509</v>
      </c>
      <c r="C300" s="8" t="s">
        <v>2</v>
      </c>
      <c r="D300">
        <v>23.86</v>
      </c>
    </row>
    <row r="301" spans="1:4" x14ac:dyDescent="0.3">
      <c r="A301">
        <v>300</v>
      </c>
      <c r="B301" s="7">
        <v>45517</v>
      </c>
      <c r="C301" s="8" t="s">
        <v>4</v>
      </c>
      <c r="D301">
        <v>0.99</v>
      </c>
    </row>
    <row r="302" spans="1:4" x14ac:dyDescent="0.3">
      <c r="A302">
        <v>301</v>
      </c>
      <c r="B302" s="7">
        <v>45530</v>
      </c>
      <c r="C302" s="8" t="s">
        <v>4</v>
      </c>
      <c r="D302">
        <v>1.98</v>
      </c>
    </row>
    <row r="303" spans="1:4" x14ac:dyDescent="0.3">
      <c r="A303">
        <v>302</v>
      </c>
      <c r="B303" s="7">
        <v>45530</v>
      </c>
      <c r="C303" s="8" t="s">
        <v>4</v>
      </c>
      <c r="D303">
        <v>1.98</v>
      </c>
    </row>
    <row r="304" spans="1:4" x14ac:dyDescent="0.3">
      <c r="A304">
        <v>303</v>
      </c>
      <c r="B304" s="7">
        <v>45531</v>
      </c>
      <c r="C304" s="8" t="s">
        <v>38</v>
      </c>
      <c r="D304">
        <v>3.96</v>
      </c>
    </row>
    <row r="305" spans="1:4" x14ac:dyDescent="0.3">
      <c r="A305">
        <v>304</v>
      </c>
      <c r="B305" s="7">
        <v>45532</v>
      </c>
      <c r="C305" s="8" t="s">
        <v>36</v>
      </c>
      <c r="D305">
        <v>5.94</v>
      </c>
    </row>
    <row r="306" spans="1:4" x14ac:dyDescent="0.3">
      <c r="A306">
        <v>305</v>
      </c>
      <c r="B306" s="7">
        <v>45535</v>
      </c>
      <c r="C306" s="8" t="s">
        <v>29</v>
      </c>
      <c r="D306">
        <v>8.91</v>
      </c>
    </row>
    <row r="307" spans="1:4" x14ac:dyDescent="0.3">
      <c r="A307">
        <v>306</v>
      </c>
      <c r="B307" s="7">
        <v>45540</v>
      </c>
      <c r="C307" s="8" t="s">
        <v>8</v>
      </c>
      <c r="D307">
        <v>16.86</v>
      </c>
    </row>
    <row r="308" spans="1:4" x14ac:dyDescent="0.3">
      <c r="A308">
        <v>307</v>
      </c>
      <c r="B308" s="7">
        <v>45548</v>
      </c>
      <c r="C308" s="8" t="s">
        <v>2</v>
      </c>
      <c r="D308">
        <v>1.99</v>
      </c>
    </row>
    <row r="309" spans="1:4" x14ac:dyDescent="0.3">
      <c r="A309">
        <v>308</v>
      </c>
      <c r="B309" s="7">
        <v>45561</v>
      </c>
      <c r="C309" s="8" t="s">
        <v>2</v>
      </c>
      <c r="D309">
        <v>3.98</v>
      </c>
    </row>
    <row r="310" spans="1:4" x14ac:dyDescent="0.3">
      <c r="A310">
        <v>309</v>
      </c>
      <c r="B310" s="7">
        <v>45561</v>
      </c>
      <c r="C310" s="8" t="s">
        <v>2</v>
      </c>
      <c r="D310">
        <v>3.98</v>
      </c>
    </row>
    <row r="311" spans="1:4" x14ac:dyDescent="0.3">
      <c r="A311">
        <v>310</v>
      </c>
      <c r="B311" s="7">
        <v>45562</v>
      </c>
      <c r="C311" s="8" t="s">
        <v>2</v>
      </c>
      <c r="D311">
        <v>7.96</v>
      </c>
    </row>
    <row r="312" spans="1:4" x14ac:dyDescent="0.3">
      <c r="A312">
        <v>311</v>
      </c>
      <c r="B312" s="7">
        <v>45563</v>
      </c>
      <c r="C312" s="8" t="s">
        <v>2</v>
      </c>
      <c r="D312">
        <v>11.94</v>
      </c>
    </row>
    <row r="313" spans="1:4" x14ac:dyDescent="0.3">
      <c r="A313">
        <v>312</v>
      </c>
      <c r="B313" s="7">
        <v>45566</v>
      </c>
      <c r="C313" s="8" t="s">
        <v>9</v>
      </c>
      <c r="D313">
        <v>10.91</v>
      </c>
    </row>
    <row r="314" spans="1:4" x14ac:dyDescent="0.3">
      <c r="A314">
        <v>313</v>
      </c>
      <c r="B314" s="7">
        <v>45571</v>
      </c>
      <c r="C314" s="8" t="s">
        <v>4</v>
      </c>
      <c r="D314">
        <v>16.86</v>
      </c>
    </row>
    <row r="315" spans="1:4" x14ac:dyDescent="0.3">
      <c r="A315">
        <v>314</v>
      </c>
      <c r="B315" s="7">
        <v>45579</v>
      </c>
      <c r="C315" s="8" t="s">
        <v>11</v>
      </c>
      <c r="D315">
        <v>0.99</v>
      </c>
    </row>
    <row r="316" spans="1:4" x14ac:dyDescent="0.3">
      <c r="A316">
        <v>315</v>
      </c>
      <c r="B316" s="7">
        <v>45592</v>
      </c>
      <c r="C316" s="8" t="s">
        <v>10</v>
      </c>
      <c r="D316">
        <v>1.98</v>
      </c>
    </row>
    <row r="317" spans="1:4" x14ac:dyDescent="0.3">
      <c r="A317">
        <v>316</v>
      </c>
      <c r="B317" s="7">
        <v>45592</v>
      </c>
      <c r="C317" s="8" t="s">
        <v>5</v>
      </c>
      <c r="D317">
        <v>1.98</v>
      </c>
    </row>
    <row r="318" spans="1:4" x14ac:dyDescent="0.3">
      <c r="A318">
        <v>317</v>
      </c>
      <c r="B318" s="7">
        <v>45593</v>
      </c>
      <c r="C318" s="8" t="s">
        <v>3</v>
      </c>
      <c r="D318">
        <v>3.96</v>
      </c>
    </row>
    <row r="319" spans="1:4" x14ac:dyDescent="0.3">
      <c r="A319">
        <v>318</v>
      </c>
      <c r="B319" s="7">
        <v>45594</v>
      </c>
      <c r="C319" s="8" t="s">
        <v>37</v>
      </c>
      <c r="D319">
        <v>5.94</v>
      </c>
    </row>
    <row r="320" spans="1:4" x14ac:dyDescent="0.3">
      <c r="A320">
        <v>319</v>
      </c>
      <c r="B320" s="7">
        <v>45597</v>
      </c>
      <c r="C320" s="8" t="s">
        <v>5</v>
      </c>
      <c r="D320">
        <v>8.91</v>
      </c>
    </row>
    <row r="321" spans="1:4" x14ac:dyDescent="0.3">
      <c r="A321">
        <v>320</v>
      </c>
      <c r="B321" s="7">
        <v>45602</v>
      </c>
      <c r="C321" s="8" t="s">
        <v>2</v>
      </c>
      <c r="D321">
        <v>13.86</v>
      </c>
    </row>
    <row r="322" spans="1:4" x14ac:dyDescent="0.3">
      <c r="A322">
        <v>321</v>
      </c>
      <c r="B322" s="7">
        <v>45610</v>
      </c>
      <c r="C322" s="8" t="s">
        <v>6</v>
      </c>
      <c r="D322">
        <v>0.99</v>
      </c>
    </row>
    <row r="323" spans="1:4" x14ac:dyDescent="0.3">
      <c r="A323">
        <v>322</v>
      </c>
      <c r="B323" s="7">
        <v>45623</v>
      </c>
      <c r="C323" s="8" t="s">
        <v>6</v>
      </c>
      <c r="D323">
        <v>1.98</v>
      </c>
    </row>
    <row r="324" spans="1:4" x14ac:dyDescent="0.3">
      <c r="A324">
        <v>323</v>
      </c>
      <c r="B324" s="7">
        <v>45623</v>
      </c>
      <c r="C324" s="8" t="s">
        <v>4</v>
      </c>
      <c r="D324">
        <v>1.98</v>
      </c>
    </row>
    <row r="325" spans="1:4" x14ac:dyDescent="0.3">
      <c r="A325">
        <v>324</v>
      </c>
      <c r="B325" s="7">
        <v>45624</v>
      </c>
      <c r="C325" s="8" t="s">
        <v>4</v>
      </c>
      <c r="D325">
        <v>3.96</v>
      </c>
    </row>
    <row r="326" spans="1:4" x14ac:dyDescent="0.3">
      <c r="A326">
        <v>325</v>
      </c>
      <c r="B326" s="7">
        <v>45625</v>
      </c>
      <c r="C326" s="8" t="s">
        <v>38</v>
      </c>
      <c r="D326">
        <v>5.94</v>
      </c>
    </row>
    <row r="327" spans="1:4" x14ac:dyDescent="0.3">
      <c r="A327">
        <v>326</v>
      </c>
      <c r="B327" s="7">
        <v>45628</v>
      </c>
      <c r="C327" s="8" t="s">
        <v>32</v>
      </c>
      <c r="D327">
        <v>8.91</v>
      </c>
    </row>
    <row r="328" spans="1:4" x14ac:dyDescent="0.3">
      <c r="A328">
        <v>327</v>
      </c>
      <c r="B328" s="7">
        <v>45633</v>
      </c>
      <c r="C328" s="8" t="s">
        <v>5</v>
      </c>
      <c r="D328">
        <v>13.86</v>
      </c>
    </row>
    <row r="329" spans="1:4" x14ac:dyDescent="0.3">
      <c r="A329">
        <v>328</v>
      </c>
      <c r="B329" s="7">
        <v>45641</v>
      </c>
      <c r="C329" s="8" t="s">
        <v>3</v>
      </c>
      <c r="D329">
        <v>0.99</v>
      </c>
    </row>
    <row r="330" spans="1:4" x14ac:dyDescent="0.3">
      <c r="A330">
        <v>329</v>
      </c>
      <c r="B330" s="7">
        <v>45654</v>
      </c>
      <c r="C330" s="8" t="s">
        <v>2</v>
      </c>
      <c r="D330">
        <v>1.98</v>
      </c>
    </row>
    <row r="331" spans="1:4" x14ac:dyDescent="0.3">
      <c r="A331">
        <v>330</v>
      </c>
      <c r="B331" s="7">
        <v>45654</v>
      </c>
      <c r="C331" s="8" t="s">
        <v>2</v>
      </c>
      <c r="D331">
        <v>1.98</v>
      </c>
    </row>
    <row r="332" spans="1:4" x14ac:dyDescent="0.3">
      <c r="A332">
        <v>331</v>
      </c>
      <c r="B332" s="7">
        <v>45655</v>
      </c>
      <c r="C332" s="8" t="s">
        <v>2</v>
      </c>
      <c r="D332">
        <v>3.96</v>
      </c>
    </row>
    <row r="333" spans="1:4" x14ac:dyDescent="0.3">
      <c r="A333">
        <v>332</v>
      </c>
      <c r="B333" s="7">
        <v>45656</v>
      </c>
      <c r="C333" s="8" t="s">
        <v>2</v>
      </c>
      <c r="D333">
        <v>5.94</v>
      </c>
    </row>
    <row r="334" spans="1:4" x14ac:dyDescent="0.3">
      <c r="A334">
        <v>333</v>
      </c>
      <c r="B334" s="7">
        <v>45659</v>
      </c>
      <c r="C334" s="8" t="s">
        <v>3</v>
      </c>
      <c r="D334">
        <v>8.91</v>
      </c>
    </row>
    <row r="335" spans="1:4" x14ac:dyDescent="0.3">
      <c r="A335">
        <v>334</v>
      </c>
      <c r="B335" s="7">
        <v>45664</v>
      </c>
      <c r="C335" s="8" t="s">
        <v>4</v>
      </c>
      <c r="D335">
        <v>13.86</v>
      </c>
    </row>
    <row r="336" spans="1:4" x14ac:dyDescent="0.3">
      <c r="A336">
        <v>335</v>
      </c>
      <c r="B336" s="7">
        <v>45672</v>
      </c>
      <c r="C336" s="8" t="s">
        <v>7</v>
      </c>
      <c r="D336">
        <v>0.99</v>
      </c>
    </row>
    <row r="337" spans="1:4" x14ac:dyDescent="0.3">
      <c r="A337">
        <v>336</v>
      </c>
      <c r="B337" s="7">
        <v>45685</v>
      </c>
      <c r="C337" s="8" t="s">
        <v>7</v>
      </c>
      <c r="D337">
        <v>1.98</v>
      </c>
    </row>
    <row r="338" spans="1:4" x14ac:dyDescent="0.3">
      <c r="A338">
        <v>337</v>
      </c>
      <c r="B338" s="7">
        <v>45685</v>
      </c>
      <c r="C338" s="8" t="s">
        <v>39</v>
      </c>
      <c r="D338">
        <v>1.98</v>
      </c>
    </row>
    <row r="339" spans="1:4" x14ac:dyDescent="0.3">
      <c r="A339">
        <v>338</v>
      </c>
      <c r="B339" s="7">
        <v>45686</v>
      </c>
      <c r="C339" s="8" t="s">
        <v>10</v>
      </c>
      <c r="D339">
        <v>3.96</v>
      </c>
    </row>
    <row r="340" spans="1:4" x14ac:dyDescent="0.3">
      <c r="A340">
        <v>339</v>
      </c>
      <c r="B340" s="7">
        <v>45687</v>
      </c>
      <c r="C340" s="8" t="s">
        <v>3</v>
      </c>
      <c r="D340">
        <v>5.94</v>
      </c>
    </row>
    <row r="341" spans="1:4" x14ac:dyDescent="0.3">
      <c r="A341">
        <v>340</v>
      </c>
      <c r="B341" s="7">
        <v>45690</v>
      </c>
      <c r="C341" s="8" t="s">
        <v>34</v>
      </c>
      <c r="D341">
        <v>8.91</v>
      </c>
    </row>
    <row r="342" spans="1:4" x14ac:dyDescent="0.3">
      <c r="A342">
        <v>341</v>
      </c>
      <c r="B342" s="7">
        <v>45695</v>
      </c>
      <c r="C342" s="8" t="s">
        <v>2</v>
      </c>
      <c r="D342">
        <v>13.86</v>
      </c>
    </row>
    <row r="343" spans="1:4" x14ac:dyDescent="0.3">
      <c r="A343">
        <v>342</v>
      </c>
      <c r="B343" s="7">
        <v>45703</v>
      </c>
      <c r="C343" s="8" t="s">
        <v>3</v>
      </c>
      <c r="D343">
        <v>0.99</v>
      </c>
    </row>
    <row r="344" spans="1:4" x14ac:dyDescent="0.3">
      <c r="A344">
        <v>343</v>
      </c>
      <c r="B344" s="7">
        <v>45716</v>
      </c>
      <c r="C344" s="8" t="s">
        <v>3</v>
      </c>
      <c r="D344">
        <v>1.98</v>
      </c>
    </row>
    <row r="345" spans="1:4" x14ac:dyDescent="0.3">
      <c r="A345">
        <v>344</v>
      </c>
      <c r="B345" s="7">
        <v>45716</v>
      </c>
      <c r="C345" s="8" t="s">
        <v>9</v>
      </c>
      <c r="D345">
        <v>1.98</v>
      </c>
    </row>
    <row r="346" spans="1:4" x14ac:dyDescent="0.3">
      <c r="A346">
        <v>345</v>
      </c>
      <c r="B346" s="7">
        <v>45717</v>
      </c>
      <c r="C346" s="8" t="s">
        <v>6</v>
      </c>
      <c r="D346">
        <v>3.96</v>
      </c>
    </row>
    <row r="347" spans="1:4" x14ac:dyDescent="0.3">
      <c r="A347">
        <v>346</v>
      </c>
      <c r="B347" s="7">
        <v>45718</v>
      </c>
      <c r="C347" s="8" t="s">
        <v>4</v>
      </c>
      <c r="D347">
        <v>5.94</v>
      </c>
    </row>
    <row r="348" spans="1:4" x14ac:dyDescent="0.3">
      <c r="A348">
        <v>347</v>
      </c>
      <c r="B348" s="7">
        <v>45721</v>
      </c>
      <c r="C348" s="8" t="s">
        <v>35</v>
      </c>
      <c r="D348">
        <v>8.91</v>
      </c>
    </row>
    <row r="349" spans="1:4" x14ac:dyDescent="0.3">
      <c r="A349">
        <v>348</v>
      </c>
      <c r="B349" s="7">
        <v>45726</v>
      </c>
      <c r="C349" s="8" t="s">
        <v>39</v>
      </c>
      <c r="D349">
        <v>13.86</v>
      </c>
    </row>
    <row r="350" spans="1:4" x14ac:dyDescent="0.3">
      <c r="A350">
        <v>349</v>
      </c>
      <c r="B350" s="7">
        <v>45734</v>
      </c>
      <c r="C350" s="8" t="s">
        <v>5</v>
      </c>
      <c r="D350">
        <v>0.99</v>
      </c>
    </row>
    <row r="351" spans="1:4" x14ac:dyDescent="0.3">
      <c r="A351">
        <v>350</v>
      </c>
      <c r="B351" s="7">
        <v>45747</v>
      </c>
      <c r="C351" s="8" t="s">
        <v>5</v>
      </c>
      <c r="D351">
        <v>1.98</v>
      </c>
    </row>
    <row r="352" spans="1:4" x14ac:dyDescent="0.3">
      <c r="A352">
        <v>351</v>
      </c>
      <c r="B352" s="7">
        <v>45747</v>
      </c>
      <c r="C352" s="8" t="s">
        <v>3</v>
      </c>
      <c r="D352">
        <v>1.98</v>
      </c>
    </row>
    <row r="353" spans="1:4" x14ac:dyDescent="0.3">
      <c r="A353">
        <v>352</v>
      </c>
      <c r="B353" s="7">
        <v>45748</v>
      </c>
      <c r="C353" s="8" t="s">
        <v>2</v>
      </c>
      <c r="D353">
        <v>3.96</v>
      </c>
    </row>
    <row r="354" spans="1:4" x14ac:dyDescent="0.3">
      <c r="A354">
        <v>353</v>
      </c>
      <c r="B354" s="7">
        <v>45749</v>
      </c>
      <c r="C354" s="8" t="s">
        <v>2</v>
      </c>
      <c r="D354">
        <v>5.94</v>
      </c>
    </row>
    <row r="355" spans="1:4" x14ac:dyDescent="0.3">
      <c r="A355">
        <v>354</v>
      </c>
      <c r="B355" s="7">
        <v>45752</v>
      </c>
      <c r="C355" s="8" t="s">
        <v>2</v>
      </c>
      <c r="D355">
        <v>8.91</v>
      </c>
    </row>
    <row r="356" spans="1:4" x14ac:dyDescent="0.3">
      <c r="A356">
        <v>355</v>
      </c>
      <c r="B356" s="7">
        <v>45757</v>
      </c>
      <c r="C356" s="8" t="s">
        <v>9</v>
      </c>
      <c r="D356">
        <v>13.86</v>
      </c>
    </row>
    <row r="357" spans="1:4" x14ac:dyDescent="0.3">
      <c r="A357">
        <v>356</v>
      </c>
      <c r="B357" s="7">
        <v>45765</v>
      </c>
      <c r="C357" s="8" t="s">
        <v>36</v>
      </c>
      <c r="D357">
        <v>0.99</v>
      </c>
    </row>
    <row r="358" spans="1:4" x14ac:dyDescent="0.3">
      <c r="A358">
        <v>357</v>
      </c>
      <c r="B358" s="7">
        <v>45778</v>
      </c>
      <c r="C358" s="8" t="s">
        <v>31</v>
      </c>
      <c r="D358">
        <v>1.98</v>
      </c>
    </row>
    <row r="359" spans="1:4" x14ac:dyDescent="0.3">
      <c r="A359">
        <v>358</v>
      </c>
      <c r="B359" s="7">
        <v>45778</v>
      </c>
      <c r="C359" s="8" t="s">
        <v>7</v>
      </c>
      <c r="D359">
        <v>1.98</v>
      </c>
    </row>
    <row r="360" spans="1:4" x14ac:dyDescent="0.3">
      <c r="A360">
        <v>359</v>
      </c>
      <c r="B360" s="7">
        <v>45779</v>
      </c>
      <c r="C360" s="8" t="s">
        <v>7</v>
      </c>
      <c r="D360">
        <v>3.96</v>
      </c>
    </row>
    <row r="361" spans="1:4" x14ac:dyDescent="0.3">
      <c r="A361">
        <v>360</v>
      </c>
      <c r="B361" s="7">
        <v>45780</v>
      </c>
      <c r="C361" s="8" t="s">
        <v>10</v>
      </c>
      <c r="D361">
        <v>5.94</v>
      </c>
    </row>
    <row r="362" spans="1:4" x14ac:dyDescent="0.3">
      <c r="A362">
        <v>361</v>
      </c>
      <c r="B362" s="7">
        <v>45783</v>
      </c>
      <c r="C362" s="8" t="s">
        <v>8</v>
      </c>
      <c r="D362">
        <v>8.91</v>
      </c>
    </row>
    <row r="363" spans="1:4" x14ac:dyDescent="0.3">
      <c r="A363">
        <v>362</v>
      </c>
      <c r="B363" s="7">
        <v>45788</v>
      </c>
      <c r="C363" s="8" t="s">
        <v>3</v>
      </c>
      <c r="D363">
        <v>13.86</v>
      </c>
    </row>
    <row r="364" spans="1:4" x14ac:dyDescent="0.3">
      <c r="A364">
        <v>363</v>
      </c>
      <c r="B364" s="7">
        <v>45796</v>
      </c>
      <c r="C364" s="8" t="s">
        <v>2</v>
      </c>
      <c r="D364">
        <v>0.99</v>
      </c>
    </row>
    <row r="365" spans="1:4" x14ac:dyDescent="0.3">
      <c r="A365">
        <v>364</v>
      </c>
      <c r="B365" s="7">
        <v>45809</v>
      </c>
      <c r="C365" s="8" t="s">
        <v>3</v>
      </c>
      <c r="D365">
        <v>1.98</v>
      </c>
    </row>
    <row r="366" spans="1:4" x14ac:dyDescent="0.3">
      <c r="A366">
        <v>365</v>
      </c>
      <c r="B366" s="7">
        <v>45809</v>
      </c>
      <c r="C366" s="8" t="s">
        <v>3</v>
      </c>
      <c r="D366">
        <v>1.98</v>
      </c>
    </row>
    <row r="367" spans="1:4" x14ac:dyDescent="0.3">
      <c r="A367">
        <v>366</v>
      </c>
      <c r="B367" s="7">
        <v>45810</v>
      </c>
      <c r="C367" s="8" t="s">
        <v>3</v>
      </c>
      <c r="D367">
        <v>3.96</v>
      </c>
    </row>
    <row r="368" spans="1:4" x14ac:dyDescent="0.3">
      <c r="A368">
        <v>367</v>
      </c>
      <c r="B368" s="7">
        <v>45811</v>
      </c>
      <c r="C368" s="8" t="s">
        <v>6</v>
      </c>
      <c r="D368">
        <v>5.94</v>
      </c>
    </row>
    <row r="369" spans="1:4" x14ac:dyDescent="0.3">
      <c r="A369">
        <v>368</v>
      </c>
      <c r="B369" s="7">
        <v>45814</v>
      </c>
      <c r="C369" s="8" t="s">
        <v>4</v>
      </c>
      <c r="D369">
        <v>8.91</v>
      </c>
    </row>
    <row r="370" spans="1:4" x14ac:dyDescent="0.3">
      <c r="A370">
        <v>369</v>
      </c>
      <c r="B370" s="7">
        <v>45819</v>
      </c>
      <c r="C370" s="8" t="s">
        <v>7</v>
      </c>
      <c r="D370">
        <v>13.86</v>
      </c>
    </row>
    <row r="371" spans="1:4" x14ac:dyDescent="0.3">
      <c r="A371">
        <v>370</v>
      </c>
      <c r="B371" s="7">
        <v>45827</v>
      </c>
      <c r="C371" s="8" t="s">
        <v>37</v>
      </c>
      <c r="D371">
        <v>0.99</v>
      </c>
    </row>
    <row r="372" spans="1:4" x14ac:dyDescent="0.3">
      <c r="A372">
        <v>371</v>
      </c>
      <c r="B372" s="7">
        <v>45840</v>
      </c>
      <c r="C372" s="8" t="s">
        <v>27</v>
      </c>
      <c r="D372">
        <v>1.98</v>
      </c>
    </row>
    <row r="373" spans="1:4" x14ac:dyDescent="0.3">
      <c r="A373">
        <v>372</v>
      </c>
      <c r="B373" s="7">
        <v>45840</v>
      </c>
      <c r="C373" s="8" t="s">
        <v>5</v>
      </c>
      <c r="D373">
        <v>1.98</v>
      </c>
    </row>
    <row r="374" spans="1:4" x14ac:dyDescent="0.3">
      <c r="A374">
        <v>373</v>
      </c>
      <c r="B374" s="7">
        <v>45841</v>
      </c>
      <c r="C374" s="8" t="s">
        <v>5</v>
      </c>
      <c r="D374">
        <v>3.96</v>
      </c>
    </row>
    <row r="375" spans="1:4" x14ac:dyDescent="0.3">
      <c r="A375">
        <v>374</v>
      </c>
      <c r="B375" s="7">
        <v>45842</v>
      </c>
      <c r="C375" s="8" t="s">
        <v>2</v>
      </c>
      <c r="D375">
        <v>5.94</v>
      </c>
    </row>
    <row r="376" spans="1:4" x14ac:dyDescent="0.3">
      <c r="A376">
        <v>375</v>
      </c>
      <c r="B376" s="7">
        <v>45845</v>
      </c>
      <c r="C376" s="8" t="s">
        <v>2</v>
      </c>
      <c r="D376">
        <v>8.91</v>
      </c>
    </row>
    <row r="377" spans="1:4" x14ac:dyDescent="0.3">
      <c r="A377">
        <v>376</v>
      </c>
      <c r="B377" s="7">
        <v>45850</v>
      </c>
      <c r="C377" s="8" t="s">
        <v>3</v>
      </c>
      <c r="D377">
        <v>13.86</v>
      </c>
    </row>
    <row r="378" spans="1:4" x14ac:dyDescent="0.3">
      <c r="A378">
        <v>377</v>
      </c>
      <c r="B378" s="7">
        <v>45858</v>
      </c>
      <c r="C378" s="8" t="s">
        <v>38</v>
      </c>
      <c r="D378">
        <v>0.99</v>
      </c>
    </row>
    <row r="379" spans="1:4" x14ac:dyDescent="0.3">
      <c r="A379">
        <v>378</v>
      </c>
      <c r="B379" s="7">
        <v>45871</v>
      </c>
      <c r="C379" s="8" t="s">
        <v>28</v>
      </c>
      <c r="D379">
        <v>1.98</v>
      </c>
    </row>
    <row r="380" spans="1:4" x14ac:dyDescent="0.3">
      <c r="A380">
        <v>379</v>
      </c>
      <c r="B380" s="7">
        <v>45871</v>
      </c>
      <c r="C380" s="8" t="s">
        <v>30</v>
      </c>
      <c r="D380">
        <v>1.98</v>
      </c>
    </row>
    <row r="381" spans="1:4" x14ac:dyDescent="0.3">
      <c r="A381">
        <v>380</v>
      </c>
      <c r="B381" s="7">
        <v>45872</v>
      </c>
      <c r="C381" s="8" t="s">
        <v>31</v>
      </c>
      <c r="D381">
        <v>3.96</v>
      </c>
    </row>
    <row r="382" spans="1:4" x14ac:dyDescent="0.3">
      <c r="A382">
        <v>381</v>
      </c>
      <c r="B382" s="7">
        <v>45873</v>
      </c>
      <c r="C382" s="8" t="s">
        <v>7</v>
      </c>
      <c r="D382">
        <v>5.94</v>
      </c>
    </row>
    <row r="383" spans="1:4" x14ac:dyDescent="0.3">
      <c r="A383">
        <v>382</v>
      </c>
      <c r="B383" s="7">
        <v>45876</v>
      </c>
      <c r="C383" s="8" t="s">
        <v>5</v>
      </c>
      <c r="D383">
        <v>8.91</v>
      </c>
    </row>
    <row r="384" spans="1:4" x14ac:dyDescent="0.3">
      <c r="A384">
        <v>383</v>
      </c>
      <c r="B384" s="7">
        <v>45881</v>
      </c>
      <c r="C384" s="8" t="s">
        <v>5</v>
      </c>
      <c r="D384">
        <v>13.86</v>
      </c>
    </row>
    <row r="385" spans="1:4" x14ac:dyDescent="0.3">
      <c r="A385">
        <v>384</v>
      </c>
      <c r="B385" s="7">
        <v>45889</v>
      </c>
      <c r="C385" s="8" t="s">
        <v>2</v>
      </c>
      <c r="D385">
        <v>0.99</v>
      </c>
    </row>
    <row r="386" spans="1:4" x14ac:dyDescent="0.3">
      <c r="A386">
        <v>385</v>
      </c>
      <c r="B386" s="7">
        <v>45902</v>
      </c>
      <c r="C386" s="8" t="s">
        <v>2</v>
      </c>
      <c r="D386">
        <v>1.98</v>
      </c>
    </row>
    <row r="387" spans="1:4" x14ac:dyDescent="0.3">
      <c r="A387">
        <v>386</v>
      </c>
      <c r="B387" s="7">
        <v>45902</v>
      </c>
      <c r="C387" s="8" t="s">
        <v>2</v>
      </c>
      <c r="D387">
        <v>1.98</v>
      </c>
    </row>
    <row r="388" spans="1:4" x14ac:dyDescent="0.3">
      <c r="A388">
        <v>387</v>
      </c>
      <c r="B388" s="7">
        <v>45903</v>
      </c>
      <c r="C388" s="8" t="s">
        <v>3</v>
      </c>
      <c r="D388">
        <v>3.96</v>
      </c>
    </row>
    <row r="389" spans="1:4" x14ac:dyDescent="0.3">
      <c r="A389">
        <v>388</v>
      </c>
      <c r="B389" s="7">
        <v>45904</v>
      </c>
      <c r="C389" s="8" t="s">
        <v>3</v>
      </c>
      <c r="D389">
        <v>5.94</v>
      </c>
    </row>
    <row r="390" spans="1:4" x14ac:dyDescent="0.3">
      <c r="A390">
        <v>389</v>
      </c>
      <c r="B390" s="7">
        <v>45907</v>
      </c>
      <c r="C390" s="8" t="s">
        <v>4</v>
      </c>
      <c r="D390">
        <v>8.91</v>
      </c>
    </row>
    <row r="391" spans="1:4" x14ac:dyDescent="0.3">
      <c r="A391">
        <v>390</v>
      </c>
      <c r="B391" s="7">
        <v>45912</v>
      </c>
      <c r="C391" s="8" t="s">
        <v>30</v>
      </c>
      <c r="D391">
        <v>13.86</v>
      </c>
    </row>
    <row r="392" spans="1:4" x14ac:dyDescent="0.3">
      <c r="A392">
        <v>391</v>
      </c>
      <c r="B392" s="7">
        <v>45920</v>
      </c>
      <c r="C392" s="8" t="s">
        <v>3</v>
      </c>
      <c r="D392">
        <v>0.99</v>
      </c>
    </row>
    <row r="393" spans="1:4" x14ac:dyDescent="0.3">
      <c r="A393">
        <v>392</v>
      </c>
      <c r="B393" s="7">
        <v>45933</v>
      </c>
      <c r="C393" s="8" t="s">
        <v>26</v>
      </c>
      <c r="D393">
        <v>1.98</v>
      </c>
    </row>
    <row r="394" spans="1:4" x14ac:dyDescent="0.3">
      <c r="A394">
        <v>393</v>
      </c>
      <c r="B394" s="7">
        <v>45933</v>
      </c>
      <c r="C394" s="8" t="s">
        <v>8</v>
      </c>
      <c r="D394">
        <v>1.98</v>
      </c>
    </row>
    <row r="395" spans="1:4" x14ac:dyDescent="0.3">
      <c r="A395">
        <v>394</v>
      </c>
      <c r="B395" s="7">
        <v>45934</v>
      </c>
      <c r="C395" s="8" t="s">
        <v>27</v>
      </c>
      <c r="D395">
        <v>3.96</v>
      </c>
    </row>
    <row r="396" spans="1:4" x14ac:dyDescent="0.3">
      <c r="A396">
        <v>395</v>
      </c>
      <c r="B396" s="7">
        <v>45935</v>
      </c>
      <c r="C396" s="8" t="s">
        <v>5</v>
      </c>
      <c r="D396">
        <v>5.94</v>
      </c>
    </row>
    <row r="397" spans="1:4" x14ac:dyDescent="0.3">
      <c r="A397">
        <v>396</v>
      </c>
      <c r="B397" s="7">
        <v>45938</v>
      </c>
      <c r="C397" s="8" t="s">
        <v>2</v>
      </c>
      <c r="D397">
        <v>8.91</v>
      </c>
    </row>
    <row r="398" spans="1:4" x14ac:dyDescent="0.3">
      <c r="A398">
        <v>397</v>
      </c>
      <c r="B398" s="7">
        <v>45943</v>
      </c>
      <c r="C398" s="8" t="s">
        <v>2</v>
      </c>
      <c r="D398">
        <v>13.86</v>
      </c>
    </row>
    <row r="399" spans="1:4" x14ac:dyDescent="0.3">
      <c r="A399">
        <v>398</v>
      </c>
      <c r="B399" s="7">
        <v>45951</v>
      </c>
      <c r="C399" s="8" t="s">
        <v>4</v>
      </c>
      <c r="D399">
        <v>0.99</v>
      </c>
    </row>
    <row r="400" spans="1:4" x14ac:dyDescent="0.3">
      <c r="A400">
        <v>399</v>
      </c>
      <c r="B400" s="7">
        <v>45964</v>
      </c>
      <c r="C400" s="8" t="s">
        <v>4</v>
      </c>
      <c r="D400">
        <v>1.98</v>
      </c>
    </row>
    <row r="401" spans="1:4" x14ac:dyDescent="0.3">
      <c r="A401">
        <v>400</v>
      </c>
      <c r="B401" s="7">
        <v>45964</v>
      </c>
      <c r="C401" s="8" t="s">
        <v>33</v>
      </c>
      <c r="D401">
        <v>1.98</v>
      </c>
    </row>
    <row r="402" spans="1:4" x14ac:dyDescent="0.3">
      <c r="A402">
        <v>401</v>
      </c>
      <c r="B402" s="7">
        <v>45965</v>
      </c>
      <c r="C402" s="8" t="s">
        <v>28</v>
      </c>
      <c r="D402">
        <v>3.96</v>
      </c>
    </row>
    <row r="403" spans="1:4" x14ac:dyDescent="0.3">
      <c r="A403">
        <v>402</v>
      </c>
      <c r="B403" s="7">
        <v>45966</v>
      </c>
      <c r="C403" s="8" t="s">
        <v>31</v>
      </c>
      <c r="D403">
        <v>5.94</v>
      </c>
    </row>
    <row r="404" spans="1:4" x14ac:dyDescent="0.3">
      <c r="A404">
        <v>403</v>
      </c>
      <c r="B404" s="7">
        <v>45969</v>
      </c>
      <c r="C404" s="8" t="s">
        <v>39</v>
      </c>
      <c r="D404">
        <v>8.91</v>
      </c>
    </row>
    <row r="405" spans="1:4" x14ac:dyDescent="0.3">
      <c r="A405">
        <v>404</v>
      </c>
      <c r="B405" s="7">
        <v>45974</v>
      </c>
      <c r="C405" s="8" t="s">
        <v>8</v>
      </c>
      <c r="D405">
        <v>25.86</v>
      </c>
    </row>
    <row r="406" spans="1:4" x14ac:dyDescent="0.3">
      <c r="A406">
        <v>405</v>
      </c>
      <c r="B406" s="7">
        <v>45982</v>
      </c>
      <c r="C406" s="8" t="s">
        <v>2</v>
      </c>
      <c r="D406">
        <v>0.99</v>
      </c>
    </row>
    <row r="407" spans="1:4" x14ac:dyDescent="0.3">
      <c r="A407">
        <v>406</v>
      </c>
      <c r="B407" s="7">
        <v>45995</v>
      </c>
      <c r="C407" s="8" t="s">
        <v>2</v>
      </c>
      <c r="D407">
        <v>1.98</v>
      </c>
    </row>
    <row r="408" spans="1:4" x14ac:dyDescent="0.3">
      <c r="A408">
        <v>407</v>
      </c>
      <c r="B408" s="7">
        <v>45995</v>
      </c>
      <c r="C408" s="8" t="s">
        <v>2</v>
      </c>
      <c r="D408">
        <v>1.98</v>
      </c>
    </row>
    <row r="409" spans="1:4" x14ac:dyDescent="0.3">
      <c r="A409">
        <v>408</v>
      </c>
      <c r="B409" s="7">
        <v>45996</v>
      </c>
      <c r="C409" s="8" t="s">
        <v>2</v>
      </c>
      <c r="D409">
        <v>3.96</v>
      </c>
    </row>
    <row r="410" spans="1:4" x14ac:dyDescent="0.3">
      <c r="A410">
        <v>409</v>
      </c>
      <c r="B410" s="7">
        <v>45997</v>
      </c>
      <c r="C410" s="8" t="s">
        <v>3</v>
      </c>
      <c r="D410">
        <v>5.94</v>
      </c>
    </row>
    <row r="411" spans="1:4" x14ac:dyDescent="0.3">
      <c r="A411">
        <v>410</v>
      </c>
      <c r="B411" s="7">
        <v>46000</v>
      </c>
      <c r="C411" s="8" t="s">
        <v>9</v>
      </c>
      <c r="D411">
        <v>8.91</v>
      </c>
    </row>
    <row r="412" spans="1:4" x14ac:dyDescent="0.3">
      <c r="A412">
        <v>411</v>
      </c>
      <c r="B412" s="7">
        <v>46005</v>
      </c>
      <c r="C412" s="8" t="s">
        <v>33</v>
      </c>
      <c r="D412">
        <v>13.86</v>
      </c>
    </row>
    <row r="413" spans="1:4" x14ac:dyDescent="0.3">
      <c r="A413">
        <v>412</v>
      </c>
      <c r="B413" s="7">
        <v>46013</v>
      </c>
      <c r="C413" s="8" t="s">
        <v>10</v>
      </c>
      <c r="D413">
        <v>1.99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7BEE-093A-4998-8E1A-ECF2350DCC32}">
  <dimension ref="A1:D20"/>
  <sheetViews>
    <sheetView topLeftCell="C1" workbookViewId="0">
      <selection activeCell="B20" sqref="B20"/>
    </sheetView>
  </sheetViews>
  <sheetFormatPr baseColWidth="10" defaultRowHeight="14.4" x14ac:dyDescent="0.3"/>
  <cols>
    <col min="1" max="1" width="15.44140625" bestFit="1" customWidth="1"/>
    <col min="2" max="2" width="16" bestFit="1" customWidth="1"/>
  </cols>
  <sheetData>
    <row r="1" spans="1:4" x14ac:dyDescent="0.3">
      <c r="A1" t="s">
        <v>0</v>
      </c>
      <c r="B1" t="s">
        <v>1</v>
      </c>
      <c r="C1" t="s">
        <v>14</v>
      </c>
      <c r="D1" t="s">
        <v>12</v>
      </c>
    </row>
    <row r="2" spans="1:4" x14ac:dyDescent="0.3">
      <c r="A2" t="s">
        <v>2</v>
      </c>
      <c r="B2">
        <v>523.05999999999995</v>
      </c>
      <c r="C2" s="2">
        <f t="shared" ref="C2:C11" si="0">B2/$D$2</f>
        <v>0.29536060352810967</v>
      </c>
      <c r="D2">
        <f>SUM(B1:B11)</f>
        <v>1770.9199999999998</v>
      </c>
    </row>
    <row r="3" spans="1:4" x14ac:dyDescent="0.3">
      <c r="A3" t="s">
        <v>3</v>
      </c>
      <c r="B3">
        <v>303.95999999999998</v>
      </c>
      <c r="C3" s="2">
        <f t="shared" si="0"/>
        <v>0.171639599756059</v>
      </c>
    </row>
    <row r="4" spans="1:4" x14ac:dyDescent="0.3">
      <c r="A4" t="s">
        <v>4</v>
      </c>
      <c r="B4">
        <v>195.1</v>
      </c>
      <c r="C4" s="2">
        <f t="shared" si="0"/>
        <v>0.11016872586000498</v>
      </c>
      <c r="D4" t="s">
        <v>13</v>
      </c>
    </row>
    <row r="5" spans="1:4" x14ac:dyDescent="0.3">
      <c r="A5" t="s">
        <v>5</v>
      </c>
      <c r="B5">
        <v>190.1</v>
      </c>
      <c r="C5" s="2">
        <f t="shared" si="0"/>
        <v>0.10734533462832878</v>
      </c>
      <c r="D5">
        <f>AVERAGE(B1:B11)</f>
        <v>177.09199999999998</v>
      </c>
    </row>
    <row r="6" spans="1:4" x14ac:dyDescent="0.3">
      <c r="A6" t="s">
        <v>6</v>
      </c>
      <c r="B6">
        <v>156.47999999999999</v>
      </c>
      <c r="C6" s="2">
        <f t="shared" si="0"/>
        <v>8.8360851986538078E-2</v>
      </c>
    </row>
    <row r="7" spans="1:4" x14ac:dyDescent="0.3">
      <c r="A7" t="s">
        <v>7</v>
      </c>
      <c r="B7">
        <v>112.86</v>
      </c>
      <c r="C7" s="2">
        <f t="shared" si="0"/>
        <v>6.372958688139499E-2</v>
      </c>
      <c r="D7" t="s">
        <v>15</v>
      </c>
    </row>
    <row r="8" spans="1:4" x14ac:dyDescent="0.3">
      <c r="A8" t="s">
        <v>8</v>
      </c>
      <c r="B8">
        <v>90.24</v>
      </c>
      <c r="C8" s="2">
        <f t="shared" si="0"/>
        <v>5.0956564949291898E-2</v>
      </c>
      <c r="D8" s="3">
        <f>SUM(C2:C11)</f>
        <v>1</v>
      </c>
    </row>
    <row r="9" spans="1:4" x14ac:dyDescent="0.3">
      <c r="A9" t="s">
        <v>9</v>
      </c>
      <c r="B9">
        <v>77.239999999999995</v>
      </c>
      <c r="C9" s="2">
        <f t="shared" si="0"/>
        <v>4.3615747746933796E-2</v>
      </c>
    </row>
    <row r="10" spans="1:4" ht="15" x14ac:dyDescent="0.35">
      <c r="A10" t="s">
        <v>10</v>
      </c>
      <c r="B10">
        <v>75.260000000000005</v>
      </c>
      <c r="C10" s="2">
        <f t="shared" si="0"/>
        <v>4.2497684819190029E-2</v>
      </c>
      <c r="D10" s="1" t="s">
        <v>16</v>
      </c>
    </row>
    <row r="11" spans="1:4" x14ac:dyDescent="0.3">
      <c r="A11" t="s">
        <v>11</v>
      </c>
      <c r="B11">
        <v>46.62</v>
      </c>
      <c r="C11" s="2">
        <f t="shared" si="0"/>
        <v>2.6325299844148806E-2</v>
      </c>
      <c r="D11">
        <f>MAX(B1:B2)</f>
        <v>523.05999999999995</v>
      </c>
    </row>
    <row r="13" spans="1:4" x14ac:dyDescent="0.3">
      <c r="D13" t="s">
        <v>17</v>
      </c>
    </row>
    <row r="14" spans="1:4" x14ac:dyDescent="0.3">
      <c r="D14">
        <f>MIN(B2:B11)</f>
        <v>46.62</v>
      </c>
    </row>
    <row r="16" spans="1:4" x14ac:dyDescent="0.3">
      <c r="D16" t="s">
        <v>18</v>
      </c>
    </row>
    <row r="17" spans="4:4" x14ac:dyDescent="0.3">
      <c r="D17" s="4">
        <f>_xlfn.STDEV.P(B2:B11)</f>
        <v>136.2864034891229</v>
      </c>
    </row>
    <row r="19" spans="4:4" x14ac:dyDescent="0.3">
      <c r="D19" t="s">
        <v>19</v>
      </c>
    </row>
    <row r="20" spans="4:4" x14ac:dyDescent="0.3">
      <c r="D20" s="2">
        <f>D17/D5</f>
        <v>0.76957967321574616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6D2B-D49C-4A27-8E14-29385B554773}">
  <dimension ref="A1:V41"/>
  <sheetViews>
    <sheetView showGridLines="0" tabSelected="1" zoomScale="56" zoomScaleNormal="47" workbookViewId="0">
      <selection activeCell="K6" sqref="K6"/>
    </sheetView>
  </sheetViews>
  <sheetFormatPr baseColWidth="10" defaultRowHeight="14.4" x14ac:dyDescent="0.3"/>
  <cols>
    <col min="2" max="2" width="13.77734375" customWidth="1"/>
    <col min="5" max="5" width="11.6640625" bestFit="1" customWidth="1"/>
    <col min="6" max="6" width="14" bestFit="1" customWidth="1"/>
  </cols>
  <sheetData>
    <row r="1" spans="1:22" x14ac:dyDescent="0.3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36.6" x14ac:dyDescent="0.7">
      <c r="A2" s="9"/>
      <c r="B2" s="13" t="s">
        <v>52</v>
      </c>
      <c r="C2" s="15"/>
      <c r="D2" s="15"/>
      <c r="E2" s="15"/>
      <c r="F2" s="15"/>
      <c r="G2" s="15"/>
      <c r="H2" s="15"/>
      <c r="I2" s="15"/>
      <c r="J2" s="15"/>
      <c r="K2" s="15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28.8" x14ac:dyDescent="0.55000000000000004">
      <c r="A3" s="9"/>
      <c r="B3" s="14" t="s">
        <v>51</v>
      </c>
      <c r="C3" s="14"/>
      <c r="D3" s="14"/>
      <c r="E3" s="14"/>
      <c r="F3" s="14"/>
      <c r="G3" s="14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3">
      <c r="A4" s="9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23.4" x14ac:dyDescent="0.45">
      <c r="A5" s="9"/>
      <c r="B5" s="17" t="s">
        <v>46</v>
      </c>
      <c r="C5" s="17"/>
      <c r="D5" s="17"/>
      <c r="E5" s="9"/>
      <c r="F5" s="17" t="s">
        <v>47</v>
      </c>
      <c r="G5" s="19"/>
      <c r="H5" s="19"/>
      <c r="I5" s="9"/>
      <c r="J5" s="17" t="s">
        <v>48</v>
      </c>
      <c r="K5" s="17"/>
      <c r="L5" s="20"/>
      <c r="M5" s="9"/>
      <c r="N5" s="17" t="s">
        <v>49</v>
      </c>
      <c r="O5" s="21"/>
      <c r="P5" s="21"/>
      <c r="Q5" s="9"/>
      <c r="R5" s="9"/>
      <c r="S5" s="9"/>
      <c r="T5" s="9"/>
      <c r="U5" s="9"/>
      <c r="V5" s="9"/>
    </row>
    <row r="6" spans="1:22" ht="23.4" x14ac:dyDescent="0.45">
      <c r="A6" s="9"/>
      <c r="B6" s="18">
        <f>GETPIVOTDATA("Somme de Total",TCD_Ventes_Pays!$A$3)</f>
        <v>2328.6000000000045</v>
      </c>
      <c r="C6" s="19"/>
      <c r="D6" s="19"/>
      <c r="E6" s="9"/>
      <c r="F6" s="23">
        <f>GETPIVOTDATA("Nombre de InvoiceDate",TCD_Ventes_Pays!$A$3)</f>
        <v>412</v>
      </c>
      <c r="G6" s="21"/>
      <c r="H6" s="21"/>
      <c r="I6" s="9"/>
      <c r="J6" s="17" t="str" cm="1">
        <f t="array" ref="J6">IFERROR(_xlfn.LET(_xlpm.a,Feuil3!A4:A20,_xlpm.m,Feuil3!B4:B20,_xlpm.ok,(LEFT(_xlpm.a&amp;"",2)="20")*(_xlpm.a&amp;""&lt;&gt;"Total général"),INDEX(_xlfn._xlws.FILTER(_xlpm.a,_xlpm.ok),MATCH(MAX(_xlfn._xlws.FILTER(_xlpm.m,_xlpm.ok)),_xlfn._xlws.FILTER(_xlpm.m,_xlpm.ok),0))),"")</f>
        <v>2022</v>
      </c>
      <c r="K6" s="19"/>
      <c r="L6" s="20"/>
      <c r="M6" s="9"/>
      <c r="N6" s="16">
        <f>IFERROR((SUMIF(Feuil3!A4:A20,"2025",Feuil3!B4:B20)-SUMIF(Feuil3!A4:A20,"2024",Feuil3!B4:B20))/SUMIF(Feuil3!A4:A20,"2024",Feuil3!B4:B20),"")</f>
        <v>-5.6436244843255864E-2</v>
      </c>
      <c r="O6" s="11"/>
      <c r="P6" s="11"/>
      <c r="Q6" s="9"/>
      <c r="R6" s="9"/>
      <c r="S6" s="9"/>
      <c r="T6" s="9"/>
      <c r="U6" s="9"/>
      <c r="V6" s="9"/>
    </row>
    <row r="7" spans="1:22" x14ac:dyDescent="0.3">
      <c r="A7" s="9"/>
      <c r="B7" s="9"/>
      <c r="C7" s="9"/>
      <c r="D7" s="9"/>
      <c r="E7" s="9"/>
      <c r="F7" s="22"/>
      <c r="G7" s="22"/>
      <c r="H7" s="2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</sheetData>
  <conditionalFormatting sqref="N6">
    <cfRule type="cellIs" dxfId="0" priority="1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4B447-B185-41FA-9EB1-714CA7C23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Feuil2</vt:lpstr>
      <vt:lpstr>Feuil3</vt:lpstr>
      <vt:lpstr>TCD_Ventes_Pays</vt:lpstr>
      <vt:lpstr>Feuil4</vt:lpstr>
      <vt:lpstr>ventes_detaillees_chinook</vt:lpstr>
      <vt:lpstr>ventes_par_pays</vt:lpstr>
      <vt:lpstr>Dashboard_Chinook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Benaissa Fatima-Zohra</dc:creator>
  <cp:lastModifiedBy>Benaissa Fatima-Zohra</cp:lastModifiedBy>
  <dcterms:created xsi:type="dcterms:W3CDTF">2026-10-27T21:18:54Z</dcterms:created>
  <dcterms:modified xsi:type="dcterms:W3CDTF">2026-10-28T14:39:17Z</dcterms:modified>
</cp:coreProperties>
</file>